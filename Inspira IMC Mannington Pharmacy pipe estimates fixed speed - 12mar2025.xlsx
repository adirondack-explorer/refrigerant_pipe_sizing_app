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aacloud-my.sharepoint.com/personal/jeffrey_everly_daikinapplied_com/Documents/Desktop/Roof &amp; Pack Systems/Projects/Projects - Piping Sizing/Inspira Mannington/"/>
    </mc:Choice>
  </mc:AlternateContent>
  <xr:revisionPtr revIDLastSave="1" documentId="8_{9C188FC6-4A72-4E2C-90F4-5D2FEF47BA81}" xr6:coauthVersionLast="47" xr6:coauthVersionMax="47" xr10:uidLastSave="{8BF887A8-1C5F-4ABB-84C4-8888FD8DC2E9}"/>
  <bookViews>
    <workbookView xWindow="-26640" yWindow="285" windowWidth="21645" windowHeight="14670" tabRatio="777" activeTab="1" xr2:uid="{00000000-000D-0000-FFFF-FFFF00000000}"/>
  </bookViews>
  <sheets>
    <sheet name="Changelog" sheetId="10" r:id="rId1"/>
    <sheet name="R-410A_Calculator" sheetId="4" r:id="rId2"/>
    <sheet name="R-410A_Data" sheetId="1" r:id="rId3"/>
    <sheet name="R-410A_Equivalent_Length" sheetId="2" r:id="rId4"/>
    <sheet name="R-410A_Min_Suction_Riser_Cap" sheetId="3" r:id="rId5"/>
    <sheet name="R-410A_Min_Hot-Gas_Riser_Cap" sheetId="9" r:id="rId6"/>
  </sheets>
  <definedNames>
    <definedName name="Identical_Circuits__1_2">'R-410A_Calculator'!$C$6</definedName>
    <definedName name="_xlnm.Print_Area" localSheetId="1">'R-410A_Calculator'!$A$1:$K$166</definedName>
    <definedName name="_xlnm.Print_Titles" localSheetId="1">'R-410A_Calculator'!$1:$6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9" i="4" l="1"/>
  <c r="AB8" i="4"/>
  <c r="D10" i="4"/>
  <c r="T18" i="3"/>
  <c r="M14" i="1"/>
  <c r="M13" i="1"/>
  <c r="M12" i="1"/>
  <c r="M10" i="1"/>
  <c r="M9" i="1"/>
  <c r="E81" i="4"/>
  <c r="D78" i="4"/>
  <c r="U35" i="2" s="1"/>
  <c r="D77" i="4"/>
  <c r="U29" i="2"/>
  <c r="D68" i="4"/>
  <c r="AA35" i="2"/>
  <c r="D14" i="4"/>
  <c r="AD30" i="1"/>
  <c r="AE31" i="1" s="1"/>
  <c r="AA8" i="1"/>
  <c r="AC8" i="1" s="1"/>
  <c r="AD9" i="1" s="1"/>
  <c r="Y30" i="1"/>
  <c r="Z44" i="1" s="1"/>
  <c r="AB44" i="1" s="1"/>
  <c r="F16" i="9"/>
  <c r="H26" i="9" s="1"/>
  <c r="R27" i="9" s="1"/>
  <c r="H23" i="9"/>
  <c r="L18" i="9"/>
  <c r="M18" i="9" s="1"/>
  <c r="O18" i="9" s="1"/>
  <c r="P18" i="9" s="1"/>
  <c r="I90" i="4"/>
  <c r="I89" i="4"/>
  <c r="I88" i="4"/>
  <c r="I78" i="4"/>
  <c r="I77" i="4"/>
  <c r="I76" i="4"/>
  <c r="E95" i="4"/>
  <c r="E86" i="4"/>
  <c r="E94" i="4" s="1"/>
  <c r="R40" i="2"/>
  <c r="S40" i="2" s="1"/>
  <c r="U41" i="2"/>
  <c r="R34" i="2"/>
  <c r="S34" i="2" s="1"/>
  <c r="R28" i="2"/>
  <c r="I96" i="4"/>
  <c r="I93" i="4"/>
  <c r="R7" i="4"/>
  <c r="R8" i="4"/>
  <c r="E85" i="4"/>
  <c r="T17" i="9" s="1"/>
  <c r="E39" i="4"/>
  <c r="AN7" i="1"/>
  <c r="AO9" i="1" s="1"/>
  <c r="M15" i="1"/>
  <c r="M16" i="1"/>
  <c r="M17" i="1"/>
  <c r="M18" i="1"/>
  <c r="M19" i="1"/>
  <c r="M20" i="1"/>
  <c r="T16" i="4"/>
  <c r="T17" i="4"/>
  <c r="I5" i="4"/>
  <c r="T27" i="4"/>
  <c r="T26" i="4"/>
  <c r="T25" i="4"/>
  <c r="T24" i="4"/>
  <c r="T23" i="4"/>
  <c r="T22" i="4"/>
  <c r="T21" i="4"/>
  <c r="T20" i="4"/>
  <c r="T19" i="4"/>
  <c r="T18" i="4"/>
  <c r="T15" i="4"/>
  <c r="T14" i="4"/>
  <c r="T13" i="4"/>
  <c r="R5" i="4"/>
  <c r="E71" i="4"/>
  <c r="L18" i="3"/>
  <c r="N20" i="3" s="1"/>
  <c r="M19" i="3"/>
  <c r="F16" i="3"/>
  <c r="H19" i="3" s="1"/>
  <c r="R8" i="1"/>
  <c r="U15" i="1"/>
  <c r="D67" i="4"/>
  <c r="AA29" i="2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37" i="1"/>
  <c r="I51" i="4"/>
  <c r="I47" i="4"/>
  <c r="I46" i="4"/>
  <c r="AC31" i="1"/>
  <c r="X40" i="2"/>
  <c r="Y40" i="2" s="1"/>
  <c r="X34" i="2"/>
  <c r="Y34" i="2" s="1"/>
  <c r="X28" i="2"/>
  <c r="L40" i="2"/>
  <c r="M40" i="2" s="1"/>
  <c r="L34" i="2"/>
  <c r="M34" i="2" s="1"/>
  <c r="L28" i="2"/>
  <c r="AM8" i="1"/>
  <c r="Z18" i="9"/>
  <c r="Z19" i="3"/>
  <c r="F28" i="2"/>
  <c r="G28" i="2"/>
  <c r="G29" i="2" s="1"/>
  <c r="AM14" i="1"/>
  <c r="Z25" i="3" s="1"/>
  <c r="AM10" i="1"/>
  <c r="Z21" i="3"/>
  <c r="AM9" i="1"/>
  <c r="Z19" i="9" s="1"/>
  <c r="AC45" i="1"/>
  <c r="W45" i="1"/>
  <c r="X45" i="1"/>
  <c r="AM22" i="1"/>
  <c r="T23" i="1"/>
  <c r="M23" i="1"/>
  <c r="N23" i="1"/>
  <c r="I23" i="1"/>
  <c r="N9" i="1"/>
  <c r="M21" i="1"/>
  <c r="M22" i="1"/>
  <c r="AA41" i="2"/>
  <c r="I61" i="4"/>
  <c r="I60" i="4"/>
  <c r="I62" i="4"/>
  <c r="AM12" i="1"/>
  <c r="Z23" i="3" s="1"/>
  <c r="Z22" i="9"/>
  <c r="AM15" i="1"/>
  <c r="Z26" i="3" s="1"/>
  <c r="AM13" i="1"/>
  <c r="I35" i="4"/>
  <c r="O29" i="2"/>
  <c r="O35" i="2"/>
  <c r="O41" i="2"/>
  <c r="I34" i="4"/>
  <c r="AM20" i="1"/>
  <c r="Z30" i="9" s="1"/>
  <c r="AM21" i="1"/>
  <c r="Z32" i="3"/>
  <c r="AM11" i="1"/>
  <c r="Z22" i="3" s="1"/>
  <c r="AM16" i="1"/>
  <c r="Z27" i="3"/>
  <c r="AM17" i="1"/>
  <c r="Z27" i="9" s="1"/>
  <c r="AM18" i="1"/>
  <c r="AM19" i="1"/>
  <c r="Z29" i="9" s="1"/>
  <c r="D17" i="9" a="1"/>
  <c r="D24" i="9" s="1"/>
  <c r="C17" i="9" a="1"/>
  <c r="C25" i="9" s="1"/>
  <c r="B17" i="9" a="1"/>
  <c r="B22" i="9" s="1"/>
  <c r="D17" i="3" a="1"/>
  <c r="D19" i="3" s="1"/>
  <c r="C17" i="3" a="1"/>
  <c r="C25" i="3" s="1"/>
  <c r="C20" i="3"/>
  <c r="C24" i="3"/>
  <c r="B17" i="3" a="1"/>
  <c r="B24" i="3" s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9" i="1"/>
  <c r="F40" i="2"/>
  <c r="G40" i="2"/>
  <c r="G41" i="2" s="1"/>
  <c r="I41" i="2"/>
  <c r="F34" i="2"/>
  <c r="G34" i="2" s="1"/>
  <c r="I35" i="2"/>
  <c r="I29" i="2"/>
  <c r="A40" i="2"/>
  <c r="B40" i="2"/>
  <c r="B41" i="2" s="1"/>
  <c r="D41" i="2"/>
  <c r="A34" i="2"/>
  <c r="B34" i="2" s="1"/>
  <c r="D35" i="2"/>
  <c r="A28" i="2"/>
  <c r="D29" i="2"/>
  <c r="X31" i="1"/>
  <c r="W31" i="1"/>
  <c r="I19" i="4"/>
  <c r="I20" i="4"/>
  <c r="I21" i="4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T6" i="1"/>
  <c r="T9" i="1"/>
  <c r="Z25" i="9"/>
  <c r="B23" i="3"/>
  <c r="C17" i="3"/>
  <c r="B18" i="9"/>
  <c r="B24" i="9"/>
  <c r="C20" i="9"/>
  <c r="Z24" i="9"/>
  <c r="B25" i="9"/>
  <c r="B21" i="9"/>
  <c r="Z32" i="1"/>
  <c r="M21" i="9"/>
  <c r="B23" i="9"/>
  <c r="B19" i="9"/>
  <c r="C17" i="9"/>
  <c r="Z24" i="3"/>
  <c r="Z23" i="9"/>
  <c r="Z33" i="1"/>
  <c r="Z37" i="1"/>
  <c r="AB37" i="1" s="1"/>
  <c r="C26" i="9"/>
  <c r="Z30" i="3"/>
  <c r="N19" i="9"/>
  <c r="Z40" i="1"/>
  <c r="C21" i="9"/>
  <c r="Z21" i="9"/>
  <c r="Z20" i="9"/>
  <c r="Z31" i="1"/>
  <c r="Z41" i="1"/>
  <c r="Z34" i="1"/>
  <c r="H28" i="3"/>
  <c r="Z35" i="1"/>
  <c r="Z42" i="1"/>
  <c r="Z38" i="1"/>
  <c r="Z39" i="1"/>
  <c r="Z43" i="1"/>
  <c r="Z45" i="1"/>
  <c r="Z36" i="1"/>
  <c r="AB36" i="1" s="1"/>
  <c r="N18" i="9"/>
  <c r="O19" i="9" s="1"/>
  <c r="P19" i="9" s="1"/>
  <c r="D20" i="3"/>
  <c r="D27" i="3"/>
  <c r="D21" i="3"/>
  <c r="D17" i="3"/>
  <c r="D28" i="3"/>
  <c r="D18" i="3"/>
  <c r="D24" i="3"/>
  <c r="D23" i="3"/>
  <c r="Z29" i="3"/>
  <c r="Z28" i="9"/>
  <c r="Z20" i="3"/>
  <c r="B28" i="3"/>
  <c r="Z26" i="9"/>
  <c r="C27" i="3"/>
  <c r="C28" i="9"/>
  <c r="B26" i="9"/>
  <c r="H17" i="3"/>
  <c r="H23" i="3"/>
  <c r="H18" i="3"/>
  <c r="H26" i="3"/>
  <c r="N19" i="3"/>
  <c r="AC12" i="1"/>
  <c r="AB9" i="1"/>
  <c r="AG8" i="1"/>
  <c r="AL17" i="1" s="1"/>
  <c r="AC9" i="1"/>
  <c r="U23" i="1"/>
  <c r="AL22" i="1" s="1"/>
  <c r="AB10" i="1"/>
  <c r="AC11" i="1"/>
  <c r="AH8" i="1"/>
  <c r="AB38" i="1" s="1"/>
  <c r="AC10" i="1"/>
  <c r="AB11" i="1"/>
  <c r="U20" i="1"/>
  <c r="AL19" i="1" s="1"/>
  <c r="H22" i="3"/>
  <c r="H24" i="3"/>
  <c r="H21" i="3"/>
  <c r="H27" i="3"/>
  <c r="H20" i="3"/>
  <c r="H25" i="3"/>
  <c r="AB32" i="1"/>
  <c r="H28" i="9"/>
  <c r="R29" i="9" s="1"/>
  <c r="H17" i="9"/>
  <c r="H25" i="9"/>
  <c r="U13" i="1"/>
  <c r="H22" i="9"/>
  <c r="R23" i="9"/>
  <c r="H18" i="9"/>
  <c r="M24" i="3"/>
  <c r="AB31" i="1"/>
  <c r="U9" i="1"/>
  <c r="U11" i="1"/>
  <c r="AL10" i="1" s="1"/>
  <c r="U22" i="1"/>
  <c r="AJ7" i="1"/>
  <c r="U21" i="1"/>
  <c r="U16" i="1"/>
  <c r="N23" i="3"/>
  <c r="U19" i="1"/>
  <c r="U12" i="1"/>
  <c r="U10" i="1"/>
  <c r="N21" i="3"/>
  <c r="M18" i="3"/>
  <c r="O18" i="3" s="1"/>
  <c r="P18" i="3" s="1"/>
  <c r="N22" i="3"/>
  <c r="M23" i="3"/>
  <c r="N18" i="3"/>
  <c r="O19" i="3" s="1"/>
  <c r="P19" i="3" s="1"/>
  <c r="N21" i="9"/>
  <c r="N20" i="9"/>
  <c r="M22" i="3"/>
  <c r="M21" i="3"/>
  <c r="S8" i="1"/>
  <c r="AK7" i="1" s="1"/>
  <c r="U14" i="1"/>
  <c r="AL13" i="1" s="1"/>
  <c r="M20" i="9"/>
  <c r="H27" i="9"/>
  <c r="H21" i="9"/>
  <c r="H24" i="9"/>
  <c r="H19" i="9"/>
  <c r="H20" i="9"/>
  <c r="AB8" i="1"/>
  <c r="AD8" i="1" s="1"/>
  <c r="AB12" i="1"/>
  <c r="AB13" i="1"/>
  <c r="AC13" i="1"/>
  <c r="M20" i="3"/>
  <c r="N24" i="3"/>
  <c r="U18" i="1"/>
  <c r="M19" i="9"/>
  <c r="U17" i="1"/>
  <c r="AL16" i="1" s="1"/>
  <c r="Q18" i="3"/>
  <c r="R23" i="3" s="1"/>
  <c r="Q18" i="9"/>
  <c r="R18" i="9" s="1"/>
  <c r="R26" i="9"/>
  <c r="R21" i="9"/>
  <c r="R25" i="9"/>
  <c r="R20" i="9"/>
  <c r="R19" i="9"/>
  <c r="R22" i="3"/>
  <c r="R24" i="3"/>
  <c r="AB35" i="1"/>
  <c r="AA22" i="9" s="1"/>
  <c r="AB34" i="1"/>
  <c r="AA21" i="9" s="1"/>
  <c r="AB45" i="1"/>
  <c r="AB41" i="1"/>
  <c r="AB43" i="1"/>
  <c r="AB39" i="1"/>
  <c r="AA18" i="9"/>
  <c r="AL12" i="1"/>
  <c r="AL8" i="1"/>
  <c r="AL21" i="1"/>
  <c r="AL18" i="1"/>
  <c r="AA29" i="3" s="1"/>
  <c r="AL9" i="1"/>
  <c r="AL14" i="1"/>
  <c r="AL20" i="1"/>
  <c r="AO20" i="1" s="1"/>
  <c r="B18" i="3"/>
  <c r="B20" i="3"/>
  <c r="C19" i="3"/>
  <c r="Z31" i="9"/>
  <c r="B17" i="3"/>
  <c r="B19" i="3"/>
  <c r="B25" i="3"/>
  <c r="B26" i="3"/>
  <c r="B21" i="3"/>
  <c r="B22" i="3"/>
  <c r="B27" i="3"/>
  <c r="AA20" i="3"/>
  <c r="AA30" i="9"/>
  <c r="AA26" i="9"/>
  <c r="AA25" i="3"/>
  <c r="AA32" i="3"/>
  <c r="AA28" i="9"/>
  <c r="AE41" i="1" l="1"/>
  <c r="AE34" i="1"/>
  <c r="AO22" i="1"/>
  <c r="AE39" i="1"/>
  <c r="AE43" i="1"/>
  <c r="U26" i="9"/>
  <c r="O9" i="1"/>
  <c r="I22" i="4" s="1"/>
  <c r="AO21" i="1"/>
  <c r="AO12" i="1"/>
  <c r="AO8" i="1"/>
  <c r="E43" i="4"/>
  <c r="E60" i="4"/>
  <c r="E61" i="4" s="1"/>
  <c r="U20" i="9"/>
  <c r="U18" i="9"/>
  <c r="U23" i="3"/>
  <c r="U24" i="3"/>
  <c r="U23" i="9"/>
  <c r="U22" i="3"/>
  <c r="G30" i="2"/>
  <c r="AE8" i="1"/>
  <c r="AF8" i="1"/>
  <c r="AA21" i="3"/>
  <c r="AO10" i="1"/>
  <c r="G42" i="2"/>
  <c r="G43" i="2" s="1"/>
  <c r="I40" i="2" s="1"/>
  <c r="I42" i="2" s="1"/>
  <c r="E25" i="4" s="1"/>
  <c r="U21" i="9"/>
  <c r="U25" i="9"/>
  <c r="U19" i="9"/>
  <c r="S41" i="2"/>
  <c r="S42" i="2" s="1"/>
  <c r="S43" i="2" s="1"/>
  <c r="AA25" i="9"/>
  <c r="AE38" i="1"/>
  <c r="Y41" i="2"/>
  <c r="AE37" i="1"/>
  <c r="AA24" i="9"/>
  <c r="AA27" i="3"/>
  <c r="AO16" i="1"/>
  <c r="U29" i="9"/>
  <c r="AO19" i="1"/>
  <c r="AA30" i="3"/>
  <c r="AA28" i="3"/>
  <c r="AO17" i="1"/>
  <c r="AA24" i="3"/>
  <c r="M41" i="2"/>
  <c r="M42" i="2" s="1"/>
  <c r="M43" i="2" s="1"/>
  <c r="G35" i="2"/>
  <c r="G36" i="2" s="1"/>
  <c r="AA23" i="9"/>
  <c r="AE36" i="1"/>
  <c r="U27" i="9"/>
  <c r="AE9" i="1"/>
  <c r="AF9" i="1"/>
  <c r="I48" i="4"/>
  <c r="I36" i="4"/>
  <c r="AE44" i="1"/>
  <c r="AA31" i="9"/>
  <c r="AE35" i="1"/>
  <c r="AA23" i="3"/>
  <c r="AA19" i="3"/>
  <c r="R27" i="3"/>
  <c r="U27" i="3" s="1"/>
  <c r="R22" i="9"/>
  <c r="U22" i="9" s="1"/>
  <c r="D25" i="9"/>
  <c r="C22" i="3"/>
  <c r="C28" i="3"/>
  <c r="C23" i="9"/>
  <c r="D26" i="9"/>
  <c r="C27" i="9"/>
  <c r="D19" i="9"/>
  <c r="D23" i="9"/>
  <c r="R29" i="3"/>
  <c r="U29" i="3" s="1"/>
  <c r="R26" i="3"/>
  <c r="U26" i="3" s="1"/>
  <c r="R19" i="3"/>
  <c r="U19" i="3" s="1"/>
  <c r="AO14" i="1"/>
  <c r="R28" i="3"/>
  <c r="U28" i="3" s="1"/>
  <c r="D22" i="9"/>
  <c r="C18" i="3"/>
  <c r="C19" i="9"/>
  <c r="C24" i="9"/>
  <c r="D27" i="9"/>
  <c r="C23" i="3"/>
  <c r="D17" i="9"/>
  <c r="R24" i="9"/>
  <c r="U24" i="9" s="1"/>
  <c r="R2" i="4"/>
  <c r="R30" i="3"/>
  <c r="U30" i="3" s="1"/>
  <c r="AA31" i="3"/>
  <c r="AO18" i="1"/>
  <c r="D18" i="9"/>
  <c r="AL15" i="1"/>
  <c r="AB33" i="1"/>
  <c r="AE32" i="1"/>
  <c r="R21" i="3"/>
  <c r="U21" i="3" s="1"/>
  <c r="R28" i="9"/>
  <c r="U28" i="9" s="1"/>
  <c r="AB42" i="1"/>
  <c r="C18" i="9"/>
  <c r="D25" i="3"/>
  <c r="B28" i="9"/>
  <c r="B27" i="9"/>
  <c r="C21" i="3"/>
  <c r="D26" i="3"/>
  <c r="AA19" i="9"/>
  <c r="R25" i="3"/>
  <c r="U25" i="3" s="1"/>
  <c r="C22" i="9"/>
  <c r="C26" i="3"/>
  <c r="Z28" i="3"/>
  <c r="Z31" i="3"/>
  <c r="D28" i="9"/>
  <c r="D21" i="9"/>
  <c r="AL11" i="1"/>
  <c r="AB40" i="1"/>
  <c r="R20" i="3"/>
  <c r="U20" i="3" s="1"/>
  <c r="D20" i="9"/>
  <c r="D22" i="3"/>
  <c r="B17" i="9"/>
  <c r="B20" i="9"/>
  <c r="P9" i="1" l="1"/>
  <c r="B25" i="2" s="1"/>
  <c r="G37" i="2" s="1"/>
  <c r="I34" i="2" s="1"/>
  <c r="I36" i="2" s="1"/>
  <c r="E24" i="4" s="1"/>
  <c r="E62" i="4"/>
  <c r="AI30" i="1" s="1"/>
  <c r="AJ34" i="1" s="1"/>
  <c r="AJ39" i="1"/>
  <c r="V18" i="9"/>
  <c r="W18" i="9" s="1"/>
  <c r="AJ38" i="1"/>
  <c r="R9" i="4"/>
  <c r="R4" i="4"/>
  <c r="R6" i="4"/>
  <c r="V19" i="3"/>
  <c r="W19" i="3" s="1"/>
  <c r="AA29" i="9"/>
  <c r="AJ42" i="1"/>
  <c r="AE42" i="1"/>
  <c r="AO11" i="1"/>
  <c r="AA22" i="3"/>
  <c r="O40" i="2"/>
  <c r="O42" i="2" s="1"/>
  <c r="E37" i="4" s="1"/>
  <c r="AA26" i="3"/>
  <c r="AO15" i="1"/>
  <c r="AA27" i="9"/>
  <c r="AE40" i="1"/>
  <c r="AJ40" i="1"/>
  <c r="I28" i="4"/>
  <c r="AE33" i="1"/>
  <c r="AJ33" i="1"/>
  <c r="AA20" i="9"/>
  <c r="U40" i="2"/>
  <c r="U42" i="2" s="1"/>
  <c r="E79" i="4" s="1"/>
  <c r="E28" i="4" l="1"/>
  <c r="D28" i="4" s="1"/>
  <c r="AF31" i="1"/>
  <c r="AJ44" i="1"/>
  <c r="AJ37" i="1"/>
  <c r="AJ32" i="1"/>
  <c r="AJ43" i="1"/>
  <c r="AJ41" i="1"/>
  <c r="AJ35" i="1"/>
  <c r="AJ31" i="1"/>
  <c r="AJ36" i="1"/>
  <c r="AP8" i="1"/>
  <c r="AQ8" i="1" s="1"/>
  <c r="I79" i="4"/>
  <c r="AG31" i="1"/>
  <c r="B28" i="2"/>
  <c r="B35" i="2"/>
  <c r="B42" i="2"/>
  <c r="E88" i="4"/>
  <c r="D88" i="4" s="1"/>
  <c r="G31" i="2"/>
  <c r="I28" i="2" s="1"/>
  <c r="I30" i="2" s="1"/>
  <c r="E23" i="4" s="1"/>
  <c r="AK31" i="1" l="1"/>
  <c r="AL31" i="1" s="1"/>
  <c r="I63" i="4"/>
  <c r="I37" i="4"/>
  <c r="I43" i="4"/>
  <c r="E52" i="4" s="1"/>
  <c r="E40" i="4" s="1"/>
  <c r="D40" i="4" s="1"/>
  <c r="M25" i="2"/>
  <c r="W21" i="3"/>
  <c r="S25" i="2"/>
  <c r="I85" i="4"/>
  <c r="E93" i="4" s="1"/>
  <c r="E82" i="4" s="1"/>
  <c r="D82" i="4" s="1"/>
  <c r="W20" i="9"/>
  <c r="B29" i="2"/>
  <c r="B30" i="2" s="1"/>
  <c r="B31" i="2" s="1"/>
  <c r="B43" i="2"/>
  <c r="D40" i="2" s="1"/>
  <c r="D42" i="2" s="1"/>
  <c r="E22" i="4" s="1"/>
  <c r="B36" i="2"/>
  <c r="B37" i="2" s="1"/>
  <c r="D34" i="2" s="1"/>
  <c r="D36" i="2" s="1"/>
  <c r="E21" i="4" s="1"/>
  <c r="Y25" i="2"/>
  <c r="I69" i="4"/>
  <c r="E63" i="4" s="1"/>
  <c r="Y28" i="2" l="1"/>
  <c r="Y35" i="2"/>
  <c r="Y42" i="2"/>
  <c r="S28" i="2"/>
  <c r="S35" i="2"/>
  <c r="AB19" i="3"/>
  <c r="AC19" i="3" s="1"/>
  <c r="I49" i="4" s="1"/>
  <c r="E44" i="4"/>
  <c r="E53" i="4" s="1"/>
  <c r="E46" i="4" s="1"/>
  <c r="D46" i="4" s="1"/>
  <c r="W24" i="3"/>
  <c r="E54" i="4" s="1"/>
  <c r="W23" i="9"/>
  <c r="AB18" i="9"/>
  <c r="AC18" i="9" s="1"/>
  <c r="I91" i="4" s="1"/>
  <c r="I94" i="4" s="1"/>
  <c r="M28" i="2"/>
  <c r="M35" i="2"/>
  <c r="D28" i="2"/>
  <c r="D30" i="2" s="1"/>
  <c r="E20" i="4" s="1"/>
  <c r="I24" i="4" s="1"/>
  <c r="I52" i="4" l="1"/>
  <c r="S36" i="2"/>
  <c r="S37" i="2" s="1"/>
  <c r="U34" i="2"/>
  <c r="U36" i="2" s="1"/>
  <c r="E78" i="4" s="1"/>
  <c r="S29" i="2"/>
  <c r="S30" i="2" s="1"/>
  <c r="S31" i="2" s="1"/>
  <c r="M29" i="2"/>
  <c r="M30" i="2" s="1"/>
  <c r="M31" i="2" s="1"/>
  <c r="Y43" i="2"/>
  <c r="AA40" i="2" s="1"/>
  <c r="AA42" i="2" s="1"/>
  <c r="E69" i="4" s="1"/>
  <c r="M36" i="2"/>
  <c r="M37" i="2" s="1"/>
  <c r="Y36" i="2"/>
  <c r="Y37" i="2" s="1"/>
  <c r="I25" i="4"/>
  <c r="I26" i="4" s="1"/>
  <c r="I95" i="4"/>
  <c r="Y29" i="2"/>
  <c r="Y30" i="2" s="1"/>
  <c r="Y31" i="2" s="1"/>
  <c r="O34" i="2" l="1"/>
  <c r="O36" i="2" s="1"/>
  <c r="E36" i="4" s="1"/>
  <c r="AA34" i="2"/>
  <c r="AA36" i="2" s="1"/>
  <c r="E68" i="4" s="1"/>
  <c r="U28" i="2"/>
  <c r="U30" i="2" s="1"/>
  <c r="E77" i="4" s="1"/>
  <c r="I81" i="4" s="1"/>
  <c r="O28" i="2"/>
  <c r="O30" i="2" s="1"/>
  <c r="E35" i="4" s="1"/>
  <c r="I39" i="4" s="1"/>
  <c r="AA28" i="2"/>
  <c r="AA30" i="2" s="1"/>
  <c r="E67" i="4" s="1"/>
  <c r="I27" i="4"/>
  <c r="I53" i="4"/>
  <c r="I54" i="4"/>
  <c r="I65" i="4" l="1"/>
  <c r="I66" i="4" s="1"/>
  <c r="I67" i="4" s="1"/>
  <c r="I82" i="4"/>
  <c r="I84" i="4" s="1"/>
  <c r="I40" i="4"/>
  <c r="I41" i="4" l="1"/>
  <c r="E51" i="4" s="1"/>
  <c r="E50" i="4"/>
  <c r="I42" i="4"/>
  <c r="I83" i="4"/>
  <c r="E92" i="4" s="1"/>
  <c r="E91" i="4"/>
  <c r="I68" i="4"/>
</calcChain>
</file>

<file path=xl/sharedStrings.xml><?xml version="1.0" encoding="utf-8"?>
<sst xmlns="http://schemas.openxmlformats.org/spreadsheetml/2006/main" count="973" uniqueCount="486">
  <si>
    <t>Line Size</t>
  </si>
  <si>
    <t>Liquid Lines</t>
  </si>
  <si>
    <t>Type L Copper, OD</t>
  </si>
  <si>
    <r>
      <t>Suction Lines (</t>
    </r>
    <r>
      <rPr>
        <b/>
        <sz val="8"/>
        <rFont val="Symbol"/>
        <family val="1"/>
        <charset val="2"/>
      </rPr>
      <t>D</t>
    </r>
    <r>
      <rPr>
        <b/>
        <sz val="8"/>
        <rFont val="Arial"/>
        <family val="2"/>
      </rPr>
      <t>t = 2</t>
    </r>
    <r>
      <rPr>
        <b/>
        <vertAlign val="superscript"/>
        <sz val="8"/>
        <rFont val="Arial"/>
        <family val="2"/>
      </rPr>
      <t>o</t>
    </r>
    <r>
      <rPr>
        <b/>
        <sz val="8"/>
        <rFont val="Arial"/>
        <family val="2"/>
      </rPr>
      <t>F)</t>
    </r>
  </si>
  <si>
    <r>
      <t xml:space="preserve">Corresponding </t>
    </r>
    <r>
      <rPr>
        <b/>
        <sz val="8"/>
        <rFont val="Symbol"/>
        <family val="1"/>
        <charset val="2"/>
      </rPr>
      <t>D</t>
    </r>
    <r>
      <rPr>
        <b/>
        <sz val="8"/>
        <rFont val="Arial"/>
        <family val="2"/>
      </rPr>
      <t>p, psi/100ft</t>
    </r>
  </si>
  <si>
    <r>
      <t xml:space="preserve">Saturated Suction Temperature, </t>
    </r>
    <r>
      <rPr>
        <b/>
        <vertAlign val="superscript"/>
        <sz val="8"/>
        <rFont val="Arial"/>
        <family val="2"/>
      </rPr>
      <t>o</t>
    </r>
    <r>
      <rPr>
        <b/>
        <sz val="8"/>
        <rFont val="Arial"/>
        <family val="2"/>
      </rPr>
      <t>F</t>
    </r>
  </si>
  <si>
    <t>Vel =</t>
  </si>
  <si>
    <r>
      <t>D</t>
    </r>
    <r>
      <rPr>
        <b/>
        <sz val="8"/>
        <rFont val="Arial"/>
        <family val="2"/>
      </rPr>
      <t>t = 1</t>
    </r>
    <r>
      <rPr>
        <b/>
        <vertAlign val="superscript"/>
        <sz val="8"/>
        <rFont val="Arial"/>
        <family val="2"/>
      </rPr>
      <t>o</t>
    </r>
    <r>
      <rPr>
        <b/>
        <sz val="8"/>
        <rFont val="Arial"/>
        <family val="2"/>
      </rPr>
      <t>F</t>
    </r>
  </si>
  <si>
    <r>
      <t xml:space="preserve">Saturated Suction Temperature, </t>
    </r>
    <r>
      <rPr>
        <b/>
        <vertAlign val="superscript"/>
        <sz val="8"/>
        <rFont val="Arial"/>
        <family val="2"/>
      </rPr>
      <t>o</t>
    </r>
    <r>
      <rPr>
        <b/>
        <sz val="8"/>
        <rFont val="Arial"/>
        <family val="2"/>
      </rPr>
      <t>F</t>
    </r>
  </si>
  <si>
    <t>tons</t>
  </si>
  <si>
    <t>Curve Fit</t>
  </si>
  <si>
    <t>SST</t>
  </si>
  <si>
    <r>
      <t>o</t>
    </r>
    <r>
      <rPr>
        <b/>
        <sz val="8"/>
        <rFont val="Arial"/>
        <family val="2"/>
      </rPr>
      <t>F</t>
    </r>
  </si>
  <si>
    <t>fpm</t>
  </si>
  <si>
    <r>
      <t>D</t>
    </r>
    <r>
      <rPr>
        <b/>
        <sz val="8"/>
        <rFont val="Arial"/>
        <family val="2"/>
      </rPr>
      <t>p (psi) =</t>
    </r>
  </si>
  <si>
    <r>
      <t>D</t>
    </r>
    <r>
      <rPr>
        <b/>
        <sz val="8"/>
        <rFont val="Arial"/>
        <family val="2"/>
      </rPr>
      <t>p (psi/100ft)</t>
    </r>
  </si>
  <si>
    <t>Job Name:</t>
  </si>
  <si>
    <t>Refrigerant</t>
  </si>
  <si>
    <t>LIQUID LINE</t>
  </si>
  <si>
    <t>Table Le</t>
  </si>
  <si>
    <t>Table Capacity</t>
  </si>
  <si>
    <t>Actual Le</t>
  </si>
  <si>
    <t>Line Capacity</t>
  </si>
  <si>
    <t>SUCTION LINE</t>
  </si>
  <si>
    <t>Date:</t>
  </si>
  <si>
    <r>
      <t xml:space="preserve">Table </t>
    </r>
    <r>
      <rPr>
        <b/>
        <sz val="8"/>
        <rFont val="Symbol"/>
        <family val="1"/>
        <charset val="2"/>
      </rPr>
      <t>D</t>
    </r>
    <r>
      <rPr>
        <b/>
        <sz val="8"/>
        <rFont val="Arial"/>
        <family val="2"/>
      </rPr>
      <t>t</t>
    </r>
  </si>
  <si>
    <r>
      <t xml:space="preserve">Table </t>
    </r>
    <r>
      <rPr>
        <b/>
        <sz val="8"/>
        <rFont val="Symbol"/>
        <family val="1"/>
        <charset val="2"/>
      </rPr>
      <t>D</t>
    </r>
    <r>
      <rPr>
        <b/>
        <sz val="8"/>
        <rFont val="Arial"/>
        <family val="2"/>
      </rPr>
      <t>P</t>
    </r>
  </si>
  <si>
    <r>
      <t xml:space="preserve">Actual </t>
    </r>
    <r>
      <rPr>
        <b/>
        <sz val="8"/>
        <rFont val="Symbol"/>
        <family val="1"/>
        <charset val="2"/>
      </rPr>
      <t>D</t>
    </r>
    <r>
      <rPr>
        <b/>
        <sz val="8"/>
        <rFont val="Arial"/>
        <family val="2"/>
      </rPr>
      <t>t</t>
    </r>
  </si>
  <si>
    <r>
      <t xml:space="preserve">Actual </t>
    </r>
    <r>
      <rPr>
        <b/>
        <sz val="8"/>
        <rFont val="Symbol"/>
        <family val="1"/>
        <charset val="2"/>
      </rPr>
      <t>D</t>
    </r>
    <r>
      <rPr>
        <b/>
        <sz val="8"/>
        <rFont val="Arial"/>
        <family val="2"/>
      </rPr>
      <t>P</t>
    </r>
  </si>
  <si>
    <t>Suction Line</t>
  </si>
  <si>
    <t>Discharge Line</t>
  </si>
  <si>
    <t>multiplier</t>
  </si>
  <si>
    <t>Act. Cond. Temp.</t>
  </si>
  <si>
    <t>Min # for Interpolation</t>
  </si>
  <si>
    <t>Max # for Interpolation</t>
  </si>
  <si>
    <t>Known x's</t>
  </si>
  <si>
    <t>Known y's Suction</t>
  </si>
  <si>
    <t>Known y's Discharge</t>
  </si>
  <si>
    <t>Interpolation of Suction &amp; Discharge Multipliers</t>
  </si>
  <si>
    <t>Table 3 - Curve Fit w/ Suction Multiplier</t>
  </si>
  <si>
    <t>2006 ASHRAE Handbook Refrigeration</t>
  </si>
  <si>
    <t>Table Data</t>
  </si>
  <si>
    <t>Inputs</t>
  </si>
  <si>
    <t>Calculated Data</t>
  </si>
  <si>
    <t>Suction Line Capacity</t>
  </si>
  <si>
    <t>Determine Minimum Suction Line Capacity</t>
  </si>
  <si>
    <t>Corresponding Suction Line Size, OD</t>
  </si>
  <si>
    <t xml:space="preserve">Table is based on </t>
  </si>
  <si>
    <r>
      <t xml:space="preserve">feet of equivalent length, </t>
    </r>
    <r>
      <rPr>
        <b/>
        <i/>
        <sz val="8"/>
        <rFont val="Arial"/>
        <family val="2"/>
      </rPr>
      <t>L</t>
    </r>
    <r>
      <rPr>
        <b/>
        <vertAlign val="subscript"/>
        <sz val="8"/>
        <rFont val="Arial"/>
        <family val="2"/>
      </rPr>
      <t>e</t>
    </r>
    <r>
      <rPr>
        <b/>
        <sz val="8"/>
        <rFont val="Arial"/>
        <family val="2"/>
      </rPr>
      <t>.</t>
    </r>
  </si>
  <si>
    <r>
      <t xml:space="preserve">Suction Line Table </t>
    </r>
    <r>
      <rPr>
        <b/>
        <sz val="8"/>
        <rFont val="Symbol"/>
        <family val="1"/>
        <charset val="2"/>
      </rPr>
      <t>D</t>
    </r>
    <r>
      <rPr>
        <b/>
        <sz val="8"/>
        <rFont val="Arial"/>
        <family val="2"/>
      </rPr>
      <t>t</t>
    </r>
  </si>
  <si>
    <t>Smooth Bend Elbows</t>
  </si>
  <si>
    <t>Smooth Bend Tee</t>
  </si>
  <si>
    <t>60°  Wye Valve</t>
  </si>
  <si>
    <t>45°  Wye Valve</t>
  </si>
  <si>
    <t>Angle Valve</t>
  </si>
  <si>
    <t>Gate Valve</t>
  </si>
  <si>
    <t>Swing Check</t>
  </si>
  <si>
    <t>Sight Glass</t>
  </si>
  <si>
    <t>Filter Drier</t>
  </si>
  <si>
    <t>Suction Filter</t>
  </si>
  <si>
    <t>Flow Through Branch</t>
  </si>
  <si>
    <t>Click here to select fitting.</t>
  </si>
  <si>
    <t>Straight-Through Flow Reduced 1/4</t>
  </si>
  <si>
    <t>Straight-Through Flow  Reduced 1/2</t>
  </si>
  <si>
    <t>Straight-Through Flow No Reduction</t>
  </si>
  <si>
    <t>Globe or Solenoid Valve</t>
  </si>
  <si>
    <t>4th Attempt</t>
  </si>
  <si>
    <t>3rd Attempt</t>
  </si>
  <si>
    <t>2nd Attempt</t>
  </si>
  <si>
    <t>1st Attempt</t>
  </si>
  <si>
    <t>90° Std Elbow</t>
  </si>
  <si>
    <t>90° Street Elbow</t>
  </si>
  <si>
    <t>45° Std Elbow</t>
  </si>
  <si>
    <t>45° Street Elbow</t>
  </si>
  <si>
    <t>180° Std Elbow</t>
  </si>
  <si>
    <t>90° Long Radius Elbow</t>
  </si>
  <si>
    <t>Value of -1 in the table represents No data, and prompts the user to enter a value.</t>
  </si>
  <si>
    <t>Notes:</t>
  </si>
  <si>
    <t>Other</t>
  </si>
  <si>
    <t>1st Component</t>
  </si>
  <si>
    <t>2nd Component</t>
  </si>
  <si>
    <t>3rd Component</t>
  </si>
  <si>
    <t>4th Component</t>
  </si>
  <si>
    <t>5th Component</t>
  </si>
  <si>
    <t>6th Component</t>
  </si>
  <si>
    <t>FEET</t>
  </si>
  <si>
    <t>Valve Losses in Equivalent Feet of Pipe (Table 18 2006 ASHRAE REFRIGERATION, Table 5 McQuay AG31-011)</t>
  </si>
  <si>
    <t>Fitting/Valve Losses in Equivalent Feet of Pipe</t>
  </si>
  <si>
    <t>Suction Line Components</t>
  </si>
  <si>
    <t>Suction Line Size</t>
  </si>
  <si>
    <t>Liquid Line Components</t>
  </si>
  <si>
    <t>Liquid Line Size</t>
  </si>
  <si>
    <t>In order to search the entire table, the IF() statement needed to be written 4 times (1st - 4th Attempt) due to the limits of the IF() statement in Excel for the Liquid &amp; Suction line componenets below.</t>
  </si>
  <si>
    <t>Size of Liquid Line</t>
  </si>
  <si>
    <t>INCHES</t>
  </si>
  <si>
    <r>
      <t xml:space="preserve">Liquid Line Table </t>
    </r>
    <r>
      <rPr>
        <b/>
        <sz val="8"/>
        <rFont val="Symbol"/>
        <family val="1"/>
        <charset val="2"/>
      </rPr>
      <t>D</t>
    </r>
    <r>
      <rPr>
        <b/>
        <sz val="8"/>
        <rFont val="Arial"/>
        <family val="2"/>
      </rPr>
      <t>t</t>
    </r>
  </si>
  <si>
    <t>Actual / Operating Conditions</t>
  </si>
  <si>
    <t xml:space="preserve">   </t>
  </si>
  <si>
    <t>Determine Minimum Liquid Line Capacity</t>
  </si>
  <si>
    <t>Look Up Sufficient Liquid Line Capacities</t>
  </si>
  <si>
    <t>PSI</t>
  </si>
  <si>
    <t>TONS</t>
  </si>
  <si>
    <t>Corresponding Liquid Line Size, OD</t>
  </si>
  <si>
    <t>Determines Minimum Suction Line Size</t>
  </si>
  <si>
    <t>Determines Minimum Liquid Line Size</t>
  </si>
  <si>
    <t>Condensing Temperature</t>
  </si>
  <si>
    <t>Saturated Suction Temperature (SST)</t>
  </si>
  <si>
    <t>Superheat</t>
  </si>
  <si>
    <t>Look Up Sufficient Suction Line Capacity</t>
  </si>
  <si>
    <t>Size of Suction Line</t>
  </si>
  <si>
    <t>Calculations Based on Ch. 2, 2006 ASHRAE Handbook REFRIGERATION</t>
  </si>
  <si>
    <t>Saturated Suction Temperature</t>
  </si>
  <si>
    <t>Pipe O.D. (Inches)</t>
  </si>
  <si>
    <r>
      <t>Area (in</t>
    </r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>)</t>
    </r>
  </si>
  <si>
    <t>Suction Line Curve Fit</t>
  </si>
  <si>
    <t>Min. Suction Riser Capacity - Curve Fit</t>
  </si>
  <si>
    <t>inches</t>
  </si>
  <si>
    <t>Suction Riser</t>
  </si>
  <si>
    <t>Min. Suction Capacity</t>
  </si>
  <si>
    <t>Suction Riser Capacity</t>
  </si>
  <si>
    <t>Min. Suction Riser Capacity - Curve Fit w/Multiplier</t>
  </si>
  <si>
    <t>Determines Suction Riser Capacity</t>
  </si>
  <si>
    <t>Size of Suction Riser</t>
  </si>
  <si>
    <t>Actual / Operating Conditions - Horizontal Pipe</t>
  </si>
  <si>
    <t>Actual / Operating Conditions - Suction Riser</t>
  </si>
  <si>
    <t>Actual / Operating Conditions - Total</t>
  </si>
  <si>
    <t>Table Data - Horizontal Pipe</t>
  </si>
  <si>
    <t>Table Data - Suction Riser</t>
  </si>
  <si>
    <t>Length of Horizontal Suction Pipe</t>
  </si>
  <si>
    <t>Size of Suction Line Riser</t>
  </si>
  <si>
    <t>Minimum Capacity of HVAC Unit</t>
  </si>
  <si>
    <t>Size of Horizontal Suction Line</t>
  </si>
  <si>
    <t>Size of Vertical Suction Riser</t>
  </si>
  <si>
    <t>Determine Size of Suction Riser for Minimum Capacity</t>
  </si>
  <si>
    <t>DISCHARGE LINE</t>
  </si>
  <si>
    <t>Length of Horizontal Discharge Pipe</t>
  </si>
  <si>
    <t>Table Data - Discharge Riser</t>
  </si>
  <si>
    <t>Actual / Operating Conditions - Discharge Riser</t>
  </si>
  <si>
    <t>Size of Horizontal Discharge Line</t>
  </si>
  <si>
    <t>Size of Vertical Discharge Riser</t>
  </si>
  <si>
    <t>Size of Discharge Line Riser</t>
  </si>
  <si>
    <t>Length of Vertical Discharge Riser</t>
  </si>
  <si>
    <r>
      <t>Discharge Lines
(</t>
    </r>
    <r>
      <rPr>
        <b/>
        <sz val="8"/>
        <rFont val="Symbol"/>
        <family val="1"/>
        <charset val="2"/>
      </rPr>
      <t>D</t>
    </r>
    <r>
      <rPr>
        <b/>
        <sz val="8"/>
        <rFont val="Arial"/>
        <family val="2"/>
      </rPr>
      <t>t = 1</t>
    </r>
    <r>
      <rPr>
        <b/>
        <vertAlign val="superscript"/>
        <sz val="8"/>
        <rFont val="Arial"/>
        <family val="2"/>
      </rPr>
      <t>o</t>
    </r>
    <r>
      <rPr>
        <b/>
        <sz val="8"/>
        <rFont val="Arial"/>
        <family val="2"/>
      </rPr>
      <t xml:space="preserve">F, </t>
    </r>
    <r>
      <rPr>
        <b/>
        <sz val="8"/>
        <rFont val="Symbol"/>
        <family val="1"/>
        <charset val="2"/>
      </rPr>
      <t>D</t>
    </r>
    <r>
      <rPr>
        <b/>
        <sz val="8"/>
        <rFont val="Arial"/>
        <family val="2"/>
      </rPr>
      <t>p = 3.05 psi)</t>
    </r>
  </si>
  <si>
    <t>Accessory</t>
  </si>
  <si>
    <t>Quantity</t>
  </si>
  <si>
    <t>Equivalent Losses</t>
  </si>
  <si>
    <t>larger than horizontal suction pipe</t>
  </si>
  <si>
    <t>checks to make sure scution riser isn't</t>
  </si>
  <si>
    <t>Determines Minimum Suction Riser Size</t>
  </si>
  <si>
    <t>Corresponding Suction Riser Size, OD</t>
  </si>
  <si>
    <t>Riser Capacity</t>
  </si>
  <si>
    <t>capacity for above line size</t>
  </si>
  <si>
    <t>Fitting Losses in Equivalent Feet of Pipe (Table 16 2006 ASHRAE REFRIGERATION &amp; Table 4 McQuay AG31-011)</t>
  </si>
  <si>
    <t>HGBP Line Components</t>
  </si>
  <si>
    <t>HGBP Line Size</t>
  </si>
  <si>
    <r>
      <t xml:space="preserve">Discharge Line Table </t>
    </r>
    <r>
      <rPr>
        <b/>
        <sz val="8"/>
        <rFont val="Symbol"/>
        <family val="1"/>
        <charset val="2"/>
      </rPr>
      <t>D</t>
    </r>
    <r>
      <rPr>
        <b/>
        <sz val="8"/>
        <rFont val="Arial"/>
        <family val="2"/>
      </rPr>
      <t>t</t>
    </r>
  </si>
  <si>
    <r>
      <t xml:space="preserve">Discharge Line Table </t>
    </r>
    <r>
      <rPr>
        <b/>
        <sz val="8"/>
        <rFont val="Symbol"/>
        <family val="1"/>
        <charset val="2"/>
      </rPr>
      <t>D</t>
    </r>
    <r>
      <rPr>
        <b/>
        <sz val="8"/>
        <rFont val="Arial"/>
        <family val="2"/>
      </rPr>
      <t>p</t>
    </r>
  </si>
  <si>
    <t>Curve Fit Data</t>
  </si>
  <si>
    <t>Discharge Line Capacity</t>
  </si>
  <si>
    <t>Look Up Sufficient Discharge Line Capacity</t>
  </si>
  <si>
    <t>Determine Minimum Discharge Line Capacity</t>
  </si>
  <si>
    <t>Corresponding Discharge Line Size, OD</t>
  </si>
  <si>
    <t>Discharge Line Curve Fit</t>
  </si>
  <si>
    <t>Curve Fit w/mulitplier</t>
  </si>
  <si>
    <t>Determines Minimum Discharge Line Size</t>
  </si>
  <si>
    <t>Size of Discharge Line</t>
  </si>
  <si>
    <t>Saturated Temperature</t>
  </si>
  <si>
    <t>Discharge Superheat</t>
  </si>
  <si>
    <t>Suction Superheat</t>
  </si>
  <si>
    <r>
      <t xml:space="preserve">Saturated Discharge Temperature, </t>
    </r>
    <r>
      <rPr>
        <b/>
        <vertAlign val="superscript"/>
        <sz val="8"/>
        <rFont val="Arial"/>
        <family val="2"/>
      </rPr>
      <t>o</t>
    </r>
    <r>
      <rPr>
        <b/>
        <sz val="8"/>
        <rFont val="Arial"/>
        <family val="2"/>
      </rPr>
      <t>F</t>
    </r>
  </si>
  <si>
    <t>Min. Discharge Riser Capacity - Curve Fit</t>
  </si>
  <si>
    <t>Act. SST</t>
  </si>
  <si>
    <t>cond + superheat = discharge temp</t>
  </si>
  <si>
    <t>Interpolation of Discharge Multipliers</t>
  </si>
  <si>
    <t>Discharge Riser</t>
  </si>
  <si>
    <t>Min. Discharge Riser Capacity - Curve Fit w/Multiplier</t>
  </si>
  <si>
    <t>Discharge Riser Capacity</t>
  </si>
  <si>
    <t>Min. Discharge Capacity</t>
  </si>
  <si>
    <t>Condensing Temp</t>
  </si>
  <si>
    <t>Select</t>
  </si>
  <si>
    <t>Discharge Temp</t>
  </si>
  <si>
    <t>Discharge Refrigerant Temperature</t>
  </si>
  <si>
    <t>Determines Discharge Riser Capacity</t>
  </si>
  <si>
    <t>Table 3 - Curve Fit w/ Discharge Multiplier</t>
  </si>
  <si>
    <t>Size of Discharge Riser</t>
  </si>
  <si>
    <t>Minimum Capacity for Vertical Discharge Riser</t>
  </si>
  <si>
    <t>Minimum Capacity for Vertical Suction Riser</t>
  </si>
  <si>
    <t>FT</t>
  </si>
  <si>
    <t>QTY</t>
  </si>
  <si>
    <t>Saturated Suction Temp</t>
  </si>
  <si>
    <t>Corresponding Discharge Riser Size, OD</t>
  </si>
  <si>
    <t>checks to make sure discharge riser isn't</t>
  </si>
  <si>
    <t>larger than horizontal discharge pipe</t>
  </si>
  <si>
    <t>Determines Minimum Discharge Riser Size</t>
  </si>
  <si>
    <t>HOT GAS BYPASS LINE</t>
  </si>
  <si>
    <t>Minimum Compressor Capacity</t>
  </si>
  <si>
    <t>Tons</t>
  </si>
  <si>
    <t>Length of Straight Pipe</t>
  </si>
  <si>
    <t>Discharge Line Components</t>
  </si>
  <si>
    <t>Discharge Line Size</t>
  </si>
  <si>
    <t>Estimate HGBP Valve Capacity</t>
  </si>
  <si>
    <t>Size of HGBP Line</t>
  </si>
  <si>
    <t>Determines Minimum HGBP Line Size</t>
  </si>
  <si>
    <t>HGBP Line Capacity</t>
  </si>
  <si>
    <t>Look Up Sufficient HGBP Line Capacity</t>
  </si>
  <si>
    <t>Determine Minimum HGBP Line Capacity</t>
  </si>
  <si>
    <t>Corresponding HGBP Line Size, OD</t>
  </si>
  <si>
    <t>Job Description:</t>
  </si>
  <si>
    <t>Model Number:</t>
  </si>
  <si>
    <t>Circuit #:</t>
  </si>
  <si>
    <t>Identical Circuits (1=2)</t>
  </si>
  <si>
    <t>Sales Person:</t>
  </si>
  <si>
    <t>Rep Office:</t>
  </si>
  <si>
    <t>HGBP Valve Capacity</t>
  </si>
  <si>
    <t>#1</t>
  </si>
  <si>
    <t>#2</t>
  </si>
  <si>
    <t>Min. System Capacity (if unknown estimate 5 tons)</t>
  </si>
  <si>
    <t>Assumed</t>
  </si>
  <si>
    <t>Staging = 0-50-100</t>
  </si>
  <si>
    <r>
      <t>Enter Value between -60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F &amp; 40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F</t>
    </r>
  </si>
  <si>
    <t>Required if designing discharge line.</t>
  </si>
  <si>
    <t>R-410A</t>
  </si>
  <si>
    <t>Table 8  Suction, discharge, and Liquid Line Capacities in Tons for Refrigerant 410A</t>
  </si>
  <si>
    <t>See notes a</t>
  </si>
  <si>
    <t>Info Found Below Table 8</t>
  </si>
  <si>
    <t>Table 8 - Curve Fit w/ Suction Multiplier</t>
  </si>
  <si>
    <t>Portion of Table 8</t>
  </si>
  <si>
    <r>
      <t>Discharge Lines
(</t>
    </r>
    <r>
      <rPr>
        <b/>
        <sz val="8"/>
        <rFont val="Symbol"/>
        <family val="1"/>
        <charset val="2"/>
      </rPr>
      <t>D</t>
    </r>
    <r>
      <rPr>
        <b/>
        <sz val="8"/>
        <rFont val="Arial"/>
        <family val="2"/>
      </rPr>
      <t>t = 1</t>
    </r>
    <r>
      <rPr>
        <b/>
        <vertAlign val="superscript"/>
        <sz val="8"/>
        <rFont val="Arial"/>
        <family val="2"/>
      </rPr>
      <t>o</t>
    </r>
    <r>
      <rPr>
        <b/>
        <sz val="8"/>
        <rFont val="Arial"/>
        <family val="2"/>
      </rPr>
      <t xml:space="preserve">F, </t>
    </r>
    <r>
      <rPr>
        <b/>
        <sz val="8"/>
        <rFont val="Symbol"/>
        <family val="1"/>
        <charset val="2"/>
      </rPr>
      <t>D</t>
    </r>
    <r>
      <rPr>
        <b/>
        <sz val="8"/>
        <rFont val="Arial"/>
        <family val="2"/>
      </rPr>
      <t>p = 4.75 psi)</t>
    </r>
  </si>
  <si>
    <t>Table 12 (App Guide)  Minimum Refrigeration Capacity in Tons for Oil Entrainment up Suction Risers</t>
  </si>
  <si>
    <t>Info Found Below Table 12 (App Guide)</t>
  </si>
  <si>
    <t>Table 16 (App Guide)  Minimum Refrigeration Capacity in Tons for Oil Entrainment up Hot-Gas Risers</t>
  </si>
  <si>
    <t>Info Found Below Table 16 (App Guide)</t>
  </si>
  <si>
    <t>Type L Copper</t>
  </si>
  <si>
    <t>OD</t>
  </si>
  <si>
    <t>ID</t>
  </si>
  <si>
    <t>Sq. Ft.</t>
  </si>
  <si>
    <t>lb/h min. refrigerant flow @ 45°F SST</t>
  </si>
  <si>
    <t>lb/c.f. density of liquid refrigerant @ 45°F</t>
  </si>
  <si>
    <t>CFM of liquid refrigerant</t>
  </si>
  <si>
    <t>lb/c.f. density of refrigerant vapor @ 55°F</t>
  </si>
  <si>
    <t>CFM of refrigerant vapor, Suction</t>
  </si>
  <si>
    <t>CFM of refrigerant vapor</t>
  </si>
  <si>
    <t>Type L</t>
  </si>
  <si>
    <t>Cross Section</t>
  </si>
  <si>
    <t>Pipe size O.D.</t>
  </si>
  <si>
    <t>I.D.</t>
  </si>
  <si>
    <t>(SF)</t>
  </si>
  <si>
    <t>lb/c.f. density of saturated refrigerant vapor @ 125°F</t>
  </si>
  <si>
    <t>lb/c.f. density of superheated refrigerant vapor @ 180°F</t>
  </si>
  <si>
    <t>Mechanical Products Intermountain</t>
  </si>
  <si>
    <t>Schwab-Vollhaber-Lubratt, Inc.</t>
  </si>
  <si>
    <t>Reps</t>
  </si>
  <si>
    <t>Air Cond. Equip. Sales, Inc.</t>
  </si>
  <si>
    <t>Air Tech Equipment Inc.</t>
  </si>
  <si>
    <t>Airetech Corp.</t>
  </si>
  <si>
    <t>Allegheny Engineering Co.</t>
  </si>
  <si>
    <t>Applied Air Engineering, Inc.</t>
  </si>
  <si>
    <t>Briggs Equipment Sales</t>
  </si>
  <si>
    <t>Brooks Air Systems, Inc.</t>
  </si>
  <si>
    <t>Carroll Air Systems, Inc.</t>
  </si>
  <si>
    <t>Climatec, Inc.</t>
  </si>
  <si>
    <t>Controls &amp; Equipment</t>
  </si>
  <si>
    <t>D &amp; B Eng. of New Jersey, Inc.</t>
  </si>
  <si>
    <t>ElitAir, Inc.</t>
  </si>
  <si>
    <t>Engineered Equipment, Inc.</t>
  </si>
  <si>
    <t>Enviroair Industries Inc.</t>
  </si>
  <si>
    <t>Ewing/Kessler Mech Solutions</t>
  </si>
  <si>
    <t>Global Mechanical Sys. Ltd.</t>
  </si>
  <si>
    <t>H.V.A.C. Sales, Ltd.</t>
  </si>
  <si>
    <t>Havtech</t>
  </si>
  <si>
    <t>Heaven Engineering Co.</t>
  </si>
  <si>
    <t>Hoffman &amp; Hoffman, Inc.</t>
  </si>
  <si>
    <t>HTS Engineering Ltd.</t>
  </si>
  <si>
    <t>I.T.C. Technologies</t>
  </si>
  <si>
    <t>Indiana Thermal Solutions</t>
  </si>
  <si>
    <t>Kehoe Equipment Ltd.</t>
  </si>
  <si>
    <t>Long Building Tech</t>
  </si>
  <si>
    <t>M &amp; M Engineering Limited</t>
  </si>
  <si>
    <t>Mason &amp; Barry, Inc.</t>
  </si>
  <si>
    <t>Masters Building Solutions</t>
  </si>
  <si>
    <t>Mechanical Concepts, LLC</t>
  </si>
  <si>
    <t>Mechanical Resource Group</t>
  </si>
  <si>
    <t>Mechanical Sales, Inc.</t>
  </si>
  <si>
    <t>Mid-South Equipment</t>
  </si>
  <si>
    <t>Midwest Engineering Ltd.</t>
  </si>
  <si>
    <t>Modular Comfort Systems, Inc.</t>
  </si>
  <si>
    <t>Norbryhn Equipment Company</t>
  </si>
  <si>
    <t>Norman Wright Mech. Equip. Corp.</t>
  </si>
  <si>
    <t>O'Connell Inc., R.P.</t>
  </si>
  <si>
    <t>O'Connor Company</t>
  </si>
  <si>
    <t>Olympic International Agy, Ltd.</t>
  </si>
  <si>
    <t>Perry Mechanical Systems</t>
  </si>
  <si>
    <t>Stinebaugh &amp; Company</t>
  </si>
  <si>
    <t>Swan Associates, Inc.</t>
  </si>
  <si>
    <t>Thermal Environment Sales</t>
  </si>
  <si>
    <t>Thermal Mechanics, Inc.</t>
  </si>
  <si>
    <t>Thermal-Netics, Inc.</t>
  </si>
  <si>
    <t>Thermosystems, Inc.</t>
  </si>
  <si>
    <t>TriState HVAC Equipment, LLP</t>
  </si>
  <si>
    <t>Vemco, Inc.</t>
  </si>
  <si>
    <t>RCS</t>
  </si>
  <si>
    <t>Capacity</t>
  </si>
  <si>
    <t>Staging</t>
  </si>
  <si>
    <t>RCS015D</t>
  </si>
  <si>
    <t>RCS016D</t>
  </si>
  <si>
    <t>RCS020D</t>
  </si>
  <si>
    <t>RCS021D</t>
  </si>
  <si>
    <t>RCS025D</t>
  </si>
  <si>
    <t>RCS026D</t>
  </si>
  <si>
    <t>RCS030D</t>
  </si>
  <si>
    <t>RCS031D</t>
  </si>
  <si>
    <t>RCS035D</t>
  </si>
  <si>
    <t>RCS040D</t>
  </si>
  <si>
    <t>RCS042D</t>
  </si>
  <si>
    <t>RCS045D</t>
  </si>
  <si>
    <t>RCS050D</t>
  </si>
  <si>
    <t>RCS051D</t>
  </si>
  <si>
    <t>RCS060D</t>
  </si>
  <si>
    <t>RCS062D</t>
  </si>
  <si>
    <t>RCS063D</t>
  </si>
  <si>
    <t>RCS068D</t>
  </si>
  <si>
    <t>RCS070D</t>
  </si>
  <si>
    <t>RCS071D</t>
  </si>
  <si>
    <t>RCS072D</t>
  </si>
  <si>
    <t>RCS075D</t>
  </si>
  <si>
    <t>RCS079D</t>
  </si>
  <si>
    <t>RCS080D</t>
  </si>
  <si>
    <t>RCS081D</t>
  </si>
  <si>
    <t>RCS085D</t>
  </si>
  <si>
    <t>RCS090D</t>
  </si>
  <si>
    <t>RCS091D</t>
  </si>
  <si>
    <t>RCS092D</t>
  </si>
  <si>
    <t>RCS100D</t>
  </si>
  <si>
    <t>RCS101D</t>
  </si>
  <si>
    <t>RCS105D</t>
  </si>
  <si>
    <t>RCS110D</t>
  </si>
  <si>
    <t>RCS120D</t>
  </si>
  <si>
    <t>RCS125D</t>
  </si>
  <si>
    <t>RCS130D</t>
  </si>
  <si>
    <t>RCS140D</t>
  </si>
  <si>
    <t>Fittings</t>
  </si>
  <si>
    <t>Nominal = 15 tons (CKT#1 = 1 - 7 ton compressor, CKT#2 = 1 - 7 ton compressor)</t>
  </si>
  <si>
    <t>Nominal = 35 tons (CKT#1 = 2 - 7.5 ton compressors, CKT#2 = 2 - 7.5 ton compressors)</t>
  </si>
  <si>
    <t>Nominal = 40 tons (CKT#1 = 2 - 8.5 ton compressors, CKT#2 = 2 - 8.5 ton compressors)</t>
  </si>
  <si>
    <t>Nominal = 40 tons (CKT#1 = 2 - 10 ton compressors, CKT#2 = 2 - 10 ton compressors)</t>
  </si>
  <si>
    <t>Nominal = 60 tons (CKT#1 = 2 - 13 ton compressors, CKT#2 = 2 - 13 ton compressors)</t>
  </si>
  <si>
    <t>Nominal = 70 tons (CKT#1 = 2 - 15 ton compressors, CKT#2 = 2 - 15 ton compressorss)</t>
  </si>
  <si>
    <t>Nominal = 70 tons (CKT#1 = 3 - 10 ton compressors, CKT#2 = 3 - 10 ton compressors)</t>
  </si>
  <si>
    <t>Nominal = 75 tons (CKT#1 = 3 - 11.5 ton compressors, CKT#2 = 3 - 11.5 ton compressors)</t>
  </si>
  <si>
    <t>Nominal = 80 tons (CKT#1 = 3 - 11.5 ton compressors, CKT#2 = 3 - 11.5 ton compressors)</t>
  </si>
  <si>
    <t>Nominal = 80 tons (CKT#1 = 3 - 11.5 ton compressors, CKT#2 = 3 - 13 ton compressors)</t>
  </si>
  <si>
    <t>Nominal = 85 tons (CKT#1 = 3 - 13 ton compressors, CKT#2 = 3 - 13 ton compressors)</t>
  </si>
  <si>
    <t>Nominal = 90 tons (CKT#1 = 3 - 13 ton compressors, CKT#2 = 3 - 13 ton compressors)</t>
  </si>
  <si>
    <t>Nominal = 100 tons (CKT#1 = 3 - 13 ton compressors, CKT#2 = 3 - 15 ton compressors)</t>
  </si>
  <si>
    <t>Nominal = 105 tons (CKT#1 = 3 - 15 ton compressors, CKT#2 = 3 - 15 ton compressors)</t>
  </si>
  <si>
    <t>Nominal = 110 tons (CKT#1 = 3 - 15 ton compressors, CKT#2 = 3 - 15 ton compressors)</t>
  </si>
  <si>
    <t>Nominal = 120 tons (CKT#1 = 3 - 15 ton compressors, CKT#2 = 3 - 20 ton compressors)</t>
  </si>
  <si>
    <t>Nominal = 125 tons (CKT#1 = 3 - 20 ton compressors, CKT#2 = 3 - 20 ton compressors)</t>
  </si>
  <si>
    <t>Nominal = 130 tons (CKT#1 = 3 - 20 ton compressors, CKT#2 = 3 - 20 ton compressors)</t>
  </si>
  <si>
    <t>Nominal = 140 tons (CKT#1 = 3 - 20 ton compressors, CKT#2 = 3 - 25 ton compressors)</t>
  </si>
  <si>
    <t>Nominal = 10 tons (CKT#1 = 2 - 5 ton compressors)</t>
  </si>
  <si>
    <t>RCS11F-125</t>
  </si>
  <si>
    <t>RCS12F-150</t>
  </si>
  <si>
    <t>RCS15F-180</t>
  </si>
  <si>
    <t>RCS20F-240</t>
  </si>
  <si>
    <t>Nominal = 20 tons (CKT#1 = 2 - 10 ton compressors)</t>
  </si>
  <si>
    <t>Nominal = 15 tons (CKT#1 = 2 - 7.5 ton compressors)</t>
  </si>
  <si>
    <t>Nominal = 12.5 tons (CKT#1 = 2 - 6.3 ton compressors)</t>
  </si>
  <si>
    <t>Nominal = 6.5 tons (CKT#1 = 1 - 6.5 ton compressor)</t>
  </si>
  <si>
    <t>Nominal = 7.5 tons (CKT#1 = 1 - 7.5 ton compressor)</t>
  </si>
  <si>
    <t>Staging = 0-100</t>
  </si>
  <si>
    <t>Staging = 0-25-50-75-100</t>
  </si>
  <si>
    <t>Staging = 0-16-33-50-67-83-100</t>
  </si>
  <si>
    <t>Refrigeration</t>
  </si>
  <si>
    <t>Velocity at Rated Circuit Capacity</t>
  </si>
  <si>
    <t>Feet/Min.</t>
  </si>
  <si>
    <t>Ft. / Min</t>
  </si>
  <si>
    <t>Velocity at HGBP Valve Capacity</t>
  </si>
  <si>
    <t>Horizontal Suction @ Min CKT Capacity</t>
  </si>
  <si>
    <t>Vertical Suction Riser, @ Min. CKT Capacity</t>
  </si>
  <si>
    <t>McQuay National Accts</t>
  </si>
  <si>
    <t>Thermal Equipment</t>
  </si>
  <si>
    <t>Nominal = 50 tons (CKT#1 = 2 - 11.5 ton compressors, CKT#2 = 2 - 11.5 ton compressors)</t>
  </si>
  <si>
    <t>Horizontal Discharge @ Min CKT Capacity</t>
  </si>
  <si>
    <t>Vertical Discharge Riser, @ Min. CKT Cap.</t>
  </si>
  <si>
    <t>Nominal = 20 tons (CKT#1 = 1 - 10 ton compressor, CKT#2 = 2 - 4.5 ton compressors)</t>
  </si>
  <si>
    <t>Nominal = 25 tons (CKT#1 = 1 - 11.5 ton compressor, CKT#2 = 2 - 5.5 ton compressors)</t>
  </si>
  <si>
    <t>Nominal = 30 tons (CKT#1 = 1 - 13 ton compressor, CKT#2 = 2 - 6 ton compressors)</t>
  </si>
  <si>
    <t>Circuit Cooling Capacity</t>
  </si>
  <si>
    <t>Minimum Circuit Cooling Capacity</t>
  </si>
  <si>
    <t>REFRIGERANT PIPING REVIEW</t>
  </si>
  <si>
    <t>Also, please reference notes below:</t>
  </si>
  <si>
    <t xml:space="preserve">  • Avoid installing refrigerant lines under ground. </t>
  </si>
  <si>
    <t xml:space="preserve">  • Size TXVs based on actual design conditions rather than nominal rating to insure adequate turn-down controls. </t>
  </si>
  <si>
    <t xml:space="preserve">  • Double riser should never be used. </t>
  </si>
  <si>
    <t xml:space="preserve">  • Transitions in pipe sizes should be done as not to impede oil return. </t>
  </si>
  <si>
    <t xml:space="preserve">  • Service taps or valve should be installed as required for service and testing purposes. </t>
  </si>
  <si>
    <t xml:space="preserve">  • Suction and HGBP lines should be insulated. Liquid lines should be insulated if heat pickup will affect subcooling.</t>
  </si>
  <si>
    <t xml:space="preserve">      R410A: 1°F subcooling per 4.7 PSI pipe pressure drop &amp; 1°F of subcooling per 9.1 ft. of riser.</t>
  </si>
  <si>
    <t xml:space="preserve">  • Refer to installation manual 903 (C vintage), 914-4 (D vintage), or 962 (F vintage), and Application Guide 31-011 for equipment installation and piping requirements. The installation manuals include recommendations for best piping practices, and are summarized below.</t>
  </si>
  <si>
    <t xml:space="preserve">  • It is the responsibility of the installing contractor and start-up technician to ensure adequate liquid subcooling for any </t>
  </si>
  <si>
    <t xml:space="preserve">  • Install the sight glass near the thermal expansion valve.</t>
  </si>
  <si>
    <t xml:space="preserve">  • If the evaporator coil is higher than the condenser, install a suction riser inverted trap to prevent liquid flooding.</t>
  </si>
  <si>
    <t>Determine Size of Discharge Riser for Minimum Capacity</t>
  </si>
  <si>
    <t xml:space="preserve">      refrigerant, design conditions, etc... </t>
  </si>
  <si>
    <t xml:space="preserve">      the submitted data.  Submitted data should be complete and include pipe sizing, components, elevations, tie-ins,</t>
  </si>
  <si>
    <t xml:space="preserve">      equipment installation and piping requirements. The installation manuals include recommendations for best</t>
  </si>
  <si>
    <t xml:space="preserve">      piping practices, and are summarized below.</t>
  </si>
  <si>
    <t xml:space="preserve">      should be moved and placed at least 3 feet down from where the hot gas bypass is introduced.</t>
  </si>
  <si>
    <t xml:space="preserve">      liquid and suction line sizes for the spilt condensing unit(s). </t>
  </si>
  <si>
    <t xml:space="preserve">      pressure drop and risers.</t>
  </si>
  <si>
    <t xml:space="preserve">      vertical risers in the liquid line(s). Recommended minimum subcooling is 6°F at the expansion device, plus piping</t>
  </si>
  <si>
    <t xml:space="preserve">  • Filter drier should be just before liquid line solenoid valve.</t>
  </si>
  <si>
    <t xml:space="preserve">  • Install the liquid line solenoid valve near the evaporator.</t>
  </si>
  <si>
    <t xml:space="preserve">  • Use one liquid line solenoid per circuit and one TXV per liquid connection on evaporator coil(s). </t>
  </si>
  <si>
    <t xml:space="preserve">  • If the evaporator coil is higher than the condenser, install a check valve near the condenser to prevent liquid floodback</t>
  </si>
  <si>
    <t>into the condenser during off periods.</t>
  </si>
  <si>
    <t xml:space="preserve">  • If HGBP is installed, pipe directly into the suction line per IM 914-5, page 24, figure 19.  The sensing bulb for the TXV</t>
  </si>
  <si>
    <t xml:space="preserve">  • Daikin does not size or design piping.  We can only review completed drawings and make recommendations based on</t>
  </si>
  <si>
    <t>Daikin Applied Birmingham</t>
  </si>
  <si>
    <t>Daikin Applied Atlanta</t>
  </si>
  <si>
    <t>Daikin Applied New York</t>
  </si>
  <si>
    <t>Daikin Applied South Florida</t>
  </si>
  <si>
    <t>Daikin Applied Latin America</t>
  </si>
  <si>
    <t>McQuay Caribe Inc</t>
  </si>
  <si>
    <t>Norman S. Wright-Climatec Mech</t>
  </si>
  <si>
    <t>Rev</t>
  </si>
  <si>
    <t>Date</t>
  </si>
  <si>
    <t>Includes</t>
  </si>
  <si>
    <t>D</t>
  </si>
  <si>
    <t>JWE</t>
  </si>
  <si>
    <t>By</t>
  </si>
  <si>
    <t>Updated rep list.  Checked table values in ASHRAE 2014 Refrigebook for suction, discharge, and Liquid line Capacities</t>
  </si>
  <si>
    <t>Calculations Based on Ch. 1, 2014 ASHRAE Handbook REFRIGERATION</t>
  </si>
  <si>
    <t>Figure 3 - Standard Refrigeration Suction Line Trap</t>
  </si>
  <si>
    <t>Varitech Solutions</t>
  </si>
  <si>
    <t>F</t>
  </si>
  <si>
    <t>Updated Rep list.  Included Suction Trap diagram</t>
  </si>
  <si>
    <t>Air Reps</t>
  </si>
  <si>
    <t xml:space="preserve">  • System will require additional refrigerant and oil. Industry standard is to add oil weight equal to 2-3% of</t>
  </si>
  <si>
    <t>TOTAL refrigerant weight (i.e. 100lbs of refrigerant = 2-3 lbs of oil).</t>
  </si>
  <si>
    <t>G</t>
  </si>
  <si>
    <t>Updated recommended oil to add to system in piping notes</t>
  </si>
  <si>
    <r>
      <t xml:space="preserve">  • Based on the submitted data and assuming</t>
    </r>
    <r>
      <rPr>
        <sz val="9"/>
        <rFont val="Arial"/>
        <family val="2"/>
      </rPr>
      <t xml:space="preserve"> </t>
    </r>
    <r>
      <rPr>
        <sz val="9"/>
        <color indexed="10"/>
        <rFont val="Arial"/>
        <family val="2"/>
      </rPr>
      <t>R410A</t>
    </r>
    <r>
      <rPr>
        <sz val="9"/>
        <rFont val="Arial"/>
        <family val="2"/>
      </rPr>
      <t xml:space="preserve"> </t>
    </r>
    <r>
      <rPr>
        <sz val="9"/>
        <color indexed="12"/>
        <rFont val="Arial"/>
        <family val="2"/>
      </rPr>
      <t xml:space="preserve">and normal operating conditions see the attached documents for </t>
    </r>
  </si>
  <si>
    <r>
      <t xml:space="preserve">  • Slope all refrigerant lines 1/8" per foot </t>
    </r>
    <r>
      <rPr>
        <u/>
        <sz val="9"/>
        <color indexed="12"/>
        <rFont val="Arial"/>
        <family val="2"/>
      </rPr>
      <t>in the direction of flow</t>
    </r>
    <r>
      <rPr>
        <sz val="9"/>
        <color indexed="12"/>
        <rFont val="Arial"/>
        <family val="2"/>
      </rPr>
      <t xml:space="preserve">. </t>
    </r>
  </si>
  <si>
    <t>CDI</t>
  </si>
  <si>
    <t>Fixed Scroll on #1, Digital Scroll on #2</t>
  </si>
  <si>
    <t>RCS030D (Digital)</t>
  </si>
  <si>
    <t>Modulating Control with Digital Compressor</t>
  </si>
  <si>
    <t>Nominal = 30 tons (CKT#1 = 1 - 13 ton Fixed Speed, CKT#2 = 1-13 ton Digital Scroll)</t>
  </si>
  <si>
    <t>RCS025D (Digital)</t>
  </si>
  <si>
    <t>Nominal = 25 tons (CKT#1 = 1 - 11.5 ton Fixed Speed, CKT#2 = 1 - 11.5 ton Digital Scroll))</t>
  </si>
  <si>
    <t>RCS020D (Digital)</t>
  </si>
  <si>
    <t>Nominal = 20 tons (CKT#1 = 1 - 10 ton Fixed Speed, CKT#2 = 1 - 10 ton Digital Scroll)</t>
  </si>
  <si>
    <t>H</t>
  </si>
  <si>
    <t>HTS New England</t>
  </si>
  <si>
    <t>Thermal Mechanics, Inc. - KC</t>
  </si>
  <si>
    <t xml:space="preserve">  • Install a trap at the bottom of any suction or discharge gas riser. Include additional suction traps at 20’ intervals on units with fixed speed</t>
  </si>
  <si>
    <t>Global Price Mechanical</t>
  </si>
  <si>
    <t>Anything below is hidden</t>
  </si>
  <si>
    <t>Mechanical Conmponents Limited</t>
  </si>
  <si>
    <t>T.P. Woodside Inc</t>
  </si>
  <si>
    <t>Updated dropdown menus to include Digital scroll option.  Added CDI/Updated to rep roster</t>
  </si>
  <si>
    <t>Gardiner</t>
  </si>
  <si>
    <t>Harrison Energy Partners</t>
  </si>
  <si>
    <t>I</t>
  </si>
  <si>
    <t>Added 60ft riser details and changed HGBP logic to consider minimum valve position</t>
  </si>
  <si>
    <t>Length of Vertical Suction Riser (MAX 60 ft total)</t>
  </si>
  <si>
    <t>compressor ON time.  Note: Maximum recommended vertical suction riser is 60 ft</t>
  </si>
  <si>
    <t>scrolls.  Digital scroll compressor circuits need traps at 10' intervals. This reduced height will allow oil return even with minimum</t>
  </si>
  <si>
    <t>RCS10G-121</t>
  </si>
  <si>
    <t>RCS07G-091</t>
  </si>
  <si>
    <t>RCS06F-079</t>
  </si>
  <si>
    <t>Nominal = 10 tons (CKT#1 = 1 - 10 ton compressor, two stage)</t>
  </si>
  <si>
    <t>J</t>
  </si>
  <si>
    <t>Updated dropdown menu to have new single circuit options</t>
  </si>
  <si>
    <t>Thermaltech</t>
  </si>
  <si>
    <t>Circuit #+MM:M</t>
  </si>
  <si>
    <t>Update Discharge line logic (see notes); Add Refrigerant charge estiamte (3rd page); Update notes to say Max combined suction riser to 60, trap and bleed with diagram</t>
  </si>
  <si>
    <t>TBD</t>
  </si>
  <si>
    <t>(Assumes ?? traps)</t>
  </si>
  <si>
    <t>(Circuit cooling capacity based off Refrigeration Effect from condenser tech data sheets)</t>
  </si>
  <si>
    <t>20241002001 - Inspira IMC Mannington Pharmacy</t>
  </si>
  <si>
    <t>Mark Lombardi</t>
  </si>
  <si>
    <t>CKT#1 = 2 fixed speed compressors, CKT#2 = 2 fixed speed compressors</t>
  </si>
  <si>
    <t>DCSA040 (fixed speeds on both circuit) coupled with Skyline DXG12C12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</si>
</sst>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0.00000"/>
    <numFmt numFmtId="167" formatCode="0.0000"/>
    <numFmt numFmtId="168" formatCode="[$-409]mmmm\ d\,\ yyyy;@"/>
    <numFmt numFmtId="169" formatCode="#\ ?/8"/>
    <numFmt numFmtId="170" formatCode="#,##0.0"/>
    <numFmt numFmtId="171" formatCode="mm/dd/yy;@"/>
  </numFmts>
  <fonts count="2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name val="Symbol"/>
      <family val="1"/>
      <charset val="2"/>
    </font>
    <font>
      <b/>
      <vertAlign val="superscript"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vertAlign val="subscript"/>
      <sz val="8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12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Verdana"/>
      <family val="2"/>
    </font>
    <font>
      <sz val="9"/>
      <color indexed="12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u/>
      <sz val="9"/>
      <color indexed="12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2" fillId="0" borderId="0"/>
  </cellStyleXfs>
  <cellXfs count="297">
    <xf numFmtId="0" fontId="0" fillId="0" borderId="0" xfId="0"/>
    <xf numFmtId="0" fontId="2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2" fillId="0" borderId="0" xfId="0" applyFont="1" applyAlignment="1">
      <alignment horizontal="center"/>
    </xf>
    <xf numFmtId="12" fontId="6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2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3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left" indent="1"/>
    </xf>
    <xf numFmtId="165" fontId="2" fillId="0" borderId="0" xfId="0" applyNumberFormat="1" applyFont="1"/>
    <xf numFmtId="12" fontId="2" fillId="0" borderId="0" xfId="0" applyNumberFormat="1" applyFont="1"/>
    <xf numFmtId="0" fontId="2" fillId="4" borderId="2" xfId="0" applyFont="1" applyFill="1" applyBorder="1" applyAlignment="1">
      <alignment horizontal="center"/>
    </xf>
    <xf numFmtId="164" fontId="2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2" fontId="7" fillId="5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2" fontId="7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2" fontId="2" fillId="6" borderId="1" xfId="0" applyNumberFormat="1" applyFont="1" applyFill="1" applyBorder="1" applyAlignment="1">
      <alignment horizontal="center"/>
    </xf>
    <xf numFmtId="0" fontId="7" fillId="0" borderId="0" xfId="0" applyFont="1"/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wrapText="1"/>
    </xf>
    <xf numFmtId="0" fontId="7" fillId="0" borderId="0" xfId="0" applyFont="1" applyAlignment="1">
      <alignment horizontal="left"/>
    </xf>
    <xf numFmtId="0" fontId="7" fillId="0" borderId="1" xfId="0" applyFont="1" applyBorder="1"/>
    <xf numFmtId="0" fontId="6" fillId="0" borderId="0" xfId="0" applyFont="1" applyAlignment="1">
      <alignment horizontal="center"/>
    </xf>
    <xf numFmtId="0" fontId="7" fillId="4" borderId="0" xfId="0" applyFont="1" applyFill="1"/>
    <xf numFmtId="0" fontId="6" fillId="4" borderId="3" xfId="0" applyFont="1" applyFill="1" applyBorder="1" applyAlignment="1">
      <alignment horizontal="center" vertical="center" wrapText="1"/>
    </xf>
    <xf numFmtId="12" fontId="6" fillId="4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165" fontId="2" fillId="0" borderId="4" xfId="0" applyNumberFormat="1" applyFont="1" applyBorder="1" applyAlignment="1">
      <alignment horizontal="right" indent="1"/>
    </xf>
    <xf numFmtId="165" fontId="2" fillId="0" borderId="1" xfId="0" applyNumberFormat="1" applyFont="1" applyBorder="1" applyAlignment="1">
      <alignment horizontal="right" indent="1"/>
    </xf>
    <xf numFmtId="12" fontId="6" fillId="6" borderId="4" xfId="0" applyNumberFormat="1" applyFont="1" applyFill="1" applyBorder="1" applyAlignment="1">
      <alignment horizontal="center"/>
    </xf>
    <xf numFmtId="0" fontId="6" fillId="6" borderId="5" xfId="0" applyFont="1" applyFill="1" applyBorder="1"/>
    <xf numFmtId="0" fontId="7" fillId="0" borderId="6" xfId="0" applyFont="1" applyBorder="1" applyAlignment="1">
      <alignment horizontal="left"/>
    </xf>
    <xf numFmtId="0" fontId="7" fillId="0" borderId="7" xfId="0" applyFont="1" applyBorder="1"/>
    <xf numFmtId="0" fontId="7" fillId="0" borderId="6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 applyAlignment="1">
      <alignment horizontal="center"/>
    </xf>
    <xf numFmtId="0" fontId="7" fillId="0" borderId="12" xfId="0" applyFont="1" applyBorder="1"/>
    <xf numFmtId="0" fontId="6" fillId="0" borderId="6" xfId="0" applyFont="1" applyBorder="1"/>
    <xf numFmtId="0" fontId="7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/>
    <xf numFmtId="0" fontId="6" fillId="0" borderId="0" xfId="0" applyFont="1" applyAlignment="1">
      <alignment horizontal="left"/>
    </xf>
    <xf numFmtId="165" fontId="2" fillId="0" borderId="0" xfId="0" applyNumberFormat="1" applyFont="1" applyAlignment="1">
      <alignment horizontal="right" indent="1"/>
    </xf>
    <xf numFmtId="0" fontId="6" fillId="0" borderId="0" xfId="0" applyFont="1" applyAlignment="1">
      <alignment horizontal="left" indent="1"/>
    </xf>
    <xf numFmtId="0" fontId="6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right" indent="1"/>
    </xf>
    <xf numFmtId="2" fontId="2" fillId="0" borderId="1" xfId="0" applyNumberFormat="1" applyFont="1" applyBorder="1" applyAlignment="1">
      <alignment horizontal="right" indent="1"/>
    </xf>
    <xf numFmtId="0" fontId="2" fillId="0" borderId="7" xfId="0" applyFont="1" applyBorder="1" applyAlignment="1">
      <alignment horizontal="center"/>
    </xf>
    <xf numFmtId="0" fontId="2" fillId="0" borderId="6" xfId="0" applyFont="1" applyBorder="1"/>
    <xf numFmtId="0" fontId="6" fillId="3" borderId="13" xfId="0" applyFont="1" applyFill="1" applyBorder="1" applyAlignment="1">
      <alignment horizontal="left" indent="1"/>
    </xf>
    <xf numFmtId="0" fontId="5" fillId="3" borderId="13" xfId="0" applyFont="1" applyFill="1" applyBorder="1" applyAlignment="1">
      <alignment horizontal="left" indent="1"/>
    </xf>
    <xf numFmtId="12" fontId="2" fillId="0" borderId="0" xfId="0" applyNumberFormat="1" applyFont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left" indent="1"/>
    </xf>
    <xf numFmtId="165" fontId="6" fillId="2" borderId="1" xfId="0" applyNumberFormat="1" applyFont="1" applyFill="1" applyBorder="1" applyAlignment="1">
      <alignment horizontal="right" indent="1"/>
    </xf>
    <xf numFmtId="169" fontId="2" fillId="0" borderId="0" xfId="0" applyNumberFormat="1" applyFont="1"/>
    <xf numFmtId="0" fontId="6" fillId="3" borderId="14" xfId="0" applyFont="1" applyFill="1" applyBorder="1" applyAlignment="1">
      <alignment horizontal="left" indent="1"/>
    </xf>
    <xf numFmtId="0" fontId="6" fillId="2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64" fontId="2" fillId="6" borderId="1" xfId="0" applyNumberFormat="1" applyFont="1" applyFill="1" applyBorder="1"/>
    <xf numFmtId="12" fontId="2" fillId="4" borderId="2" xfId="0" applyNumberFormat="1" applyFont="1" applyFill="1" applyBorder="1" applyAlignment="1">
      <alignment horizontal="center"/>
    </xf>
    <xf numFmtId="12" fontId="2" fillId="0" borderId="1" xfId="0" applyNumberFormat="1" applyFont="1" applyBorder="1" applyAlignment="1">
      <alignment horizontal="right" indent="1"/>
    </xf>
    <xf numFmtId="12" fontId="2" fillId="5" borderId="1" xfId="0" applyNumberFormat="1" applyFont="1" applyFill="1" applyBorder="1" applyAlignment="1">
      <alignment horizontal="right" indent="1"/>
    </xf>
    <xf numFmtId="0" fontId="6" fillId="0" borderId="7" xfId="0" applyFont="1" applyBorder="1"/>
    <xf numFmtId="0" fontId="6" fillId="3" borderId="11" xfId="0" applyFont="1" applyFill="1" applyBorder="1" applyAlignment="1">
      <alignment horizontal="left"/>
    </xf>
    <xf numFmtId="165" fontId="2" fillId="0" borderId="11" xfId="0" applyNumberFormat="1" applyFont="1" applyBorder="1" applyAlignment="1">
      <alignment horizontal="right" indent="1"/>
    </xf>
    <xf numFmtId="0" fontId="2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1" xfId="0" applyFont="1" applyBorder="1"/>
    <xf numFmtId="0" fontId="6" fillId="5" borderId="1" xfId="0" applyFont="1" applyFill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6" fillId="6" borderId="1" xfId="0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left" indent="1"/>
    </xf>
    <xf numFmtId="2" fontId="2" fillId="6" borderId="1" xfId="0" applyNumberFormat="1" applyFont="1" applyFill="1" applyBorder="1"/>
    <xf numFmtId="2" fontId="6" fillId="2" borderId="1" xfId="0" applyNumberFormat="1" applyFont="1" applyFill="1" applyBorder="1" applyAlignment="1">
      <alignment horizontal="right" indent="1"/>
    </xf>
    <xf numFmtId="0" fontId="6" fillId="0" borderId="16" xfId="0" applyFont="1" applyBorder="1" applyAlignment="1">
      <alignment wrapText="1"/>
    </xf>
    <xf numFmtId="0" fontId="6" fillId="0" borderId="17" xfId="0" applyFont="1" applyBorder="1" applyAlignment="1">
      <alignment wrapText="1"/>
    </xf>
    <xf numFmtId="0" fontId="6" fillId="2" borderId="18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0" fontId="6" fillId="0" borderId="0" xfId="0" applyFont="1" applyAlignment="1">
      <alignment vertical="center" wrapText="1"/>
    </xf>
    <xf numFmtId="2" fontId="2" fillId="2" borderId="0" xfId="0" applyNumberFormat="1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7" fillId="0" borderId="0" xfId="0" applyNumberFormat="1" applyFont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0" xfId="0" applyFont="1"/>
    <xf numFmtId="164" fontId="2" fillId="0" borderId="0" xfId="0" applyNumberFormat="1" applyFont="1" applyAlignment="1">
      <alignment horizontal="center"/>
    </xf>
    <xf numFmtId="0" fontId="6" fillId="5" borderId="1" xfId="0" applyFont="1" applyFill="1" applyBorder="1"/>
    <xf numFmtId="0" fontId="6" fillId="5" borderId="4" xfId="0" applyFont="1" applyFill="1" applyBorder="1"/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4" borderId="18" xfId="0" applyFont="1" applyFill="1" applyBorder="1" applyAlignment="1" applyProtection="1">
      <alignment horizontal="center"/>
      <protection locked="0"/>
    </xf>
    <xf numFmtId="0" fontId="7" fillId="4" borderId="1" xfId="0" applyFont="1" applyFill="1" applyBorder="1" applyAlignment="1" applyProtection="1">
      <alignment horizontal="center"/>
      <protection locked="0"/>
    </xf>
    <xf numFmtId="0" fontId="7" fillId="0" borderId="0" xfId="0" applyFont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10" fillId="0" borderId="0" xfId="0" applyFont="1"/>
    <xf numFmtId="0" fontId="11" fillId="0" borderId="0" xfId="0" applyFont="1"/>
    <xf numFmtId="0" fontId="6" fillId="4" borderId="8" xfId="0" applyFont="1" applyFill="1" applyBorder="1" applyProtection="1">
      <protection locked="0"/>
    </xf>
    <xf numFmtId="0" fontId="2" fillId="4" borderId="11" xfId="0" applyFont="1" applyFill="1" applyBorder="1" applyAlignment="1">
      <alignment horizontal="right" indent="1"/>
    </xf>
    <xf numFmtId="0" fontId="2" fillId="4" borderId="1" xfId="0" applyFont="1" applyFill="1" applyBorder="1" applyAlignment="1" applyProtection="1">
      <alignment horizontal="right" indent="1"/>
      <protection locked="0"/>
    </xf>
    <xf numFmtId="165" fontId="7" fillId="4" borderId="1" xfId="0" applyNumberFormat="1" applyFont="1" applyFill="1" applyBorder="1" applyAlignment="1" applyProtection="1">
      <alignment horizontal="right" indent="1"/>
      <protection locked="0"/>
    </xf>
    <xf numFmtId="165" fontId="7" fillId="3" borderId="1" xfId="0" applyNumberFormat="1" applyFont="1" applyFill="1" applyBorder="1" applyAlignment="1" applyProtection="1">
      <alignment horizontal="right" indent="1"/>
      <protection locked="0"/>
    </xf>
    <xf numFmtId="165" fontId="2" fillId="4" borderId="1" xfId="0" applyNumberFormat="1" applyFont="1" applyFill="1" applyBorder="1" applyAlignment="1" applyProtection="1">
      <alignment horizontal="right" indent="1"/>
      <protection locked="0"/>
    </xf>
    <xf numFmtId="0" fontId="6" fillId="2" borderId="4" xfId="0" applyFont="1" applyFill="1" applyBorder="1" applyAlignment="1">
      <alignment horizontal="center" wrapText="1"/>
    </xf>
    <xf numFmtId="165" fontId="6" fillId="0" borderId="0" xfId="0" applyNumberFormat="1" applyFont="1"/>
    <xf numFmtId="2" fontId="6" fillId="0" borderId="0" xfId="0" applyNumberFormat="1" applyFont="1"/>
    <xf numFmtId="2" fontId="7" fillId="0" borderId="0" xfId="0" applyNumberFormat="1" applyFont="1"/>
    <xf numFmtId="166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0" fontId="6" fillId="4" borderId="1" xfId="0" applyFont="1" applyFill="1" applyBorder="1" applyProtection="1">
      <protection locked="0"/>
    </xf>
    <xf numFmtId="0" fontId="2" fillId="0" borderId="0" xfId="0" quotePrefix="1" applyFont="1" applyAlignment="1">
      <alignment horizontal="center"/>
    </xf>
    <xf numFmtId="0" fontId="6" fillId="0" borderId="20" xfId="0" applyFont="1" applyBorder="1" applyAlignment="1">
      <alignment horizontal="right"/>
    </xf>
    <xf numFmtId="170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left" indent="1"/>
    </xf>
    <xf numFmtId="0" fontId="6" fillId="3" borderId="21" xfId="0" applyFont="1" applyFill="1" applyBorder="1" applyAlignment="1">
      <alignment horizontal="left"/>
    </xf>
    <xf numFmtId="0" fontId="2" fillId="3" borderId="22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/>
    </xf>
    <xf numFmtId="0" fontId="16" fillId="0" borderId="23" xfId="0" applyFont="1" applyBorder="1" applyAlignment="1">
      <alignment horizontal="center" vertical="center"/>
    </xf>
    <xf numFmtId="171" fontId="16" fillId="0" borderId="24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17" fillId="0" borderId="0" xfId="0" applyFont="1" applyAlignment="1">
      <alignment horizontal="left"/>
    </xf>
    <xf numFmtId="0" fontId="21" fillId="0" borderId="0" xfId="0" applyFont="1" applyAlignment="1">
      <alignment vertical="center" wrapText="1"/>
    </xf>
    <xf numFmtId="0" fontId="6" fillId="3" borderId="13" xfId="0" applyFont="1" applyFill="1" applyBorder="1" applyAlignment="1">
      <alignment horizontal="left" vertical="center" indent="1"/>
    </xf>
    <xf numFmtId="0" fontId="5" fillId="3" borderId="13" xfId="0" applyFont="1" applyFill="1" applyBorder="1" applyAlignment="1">
      <alignment horizontal="left" vertical="center" indent="1"/>
    </xf>
    <xf numFmtId="0" fontId="5" fillId="3" borderId="14" xfId="0" applyFont="1" applyFill="1" applyBorder="1" applyAlignment="1">
      <alignment horizontal="left" vertical="center" indent="1"/>
    </xf>
    <xf numFmtId="0" fontId="6" fillId="0" borderId="18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6" fillId="3" borderId="17" xfId="0" applyFont="1" applyFill="1" applyBorder="1" applyAlignment="1">
      <alignment horizontal="left" vertical="center" indent="1"/>
    </xf>
    <xf numFmtId="0" fontId="18" fillId="0" borderId="0" xfId="0" applyFont="1" applyAlignment="1">
      <alignment wrapText="1"/>
    </xf>
    <xf numFmtId="3" fontId="2" fillId="5" borderId="1" xfId="0" applyNumberFormat="1" applyFont="1" applyFill="1" applyBorder="1" applyAlignment="1">
      <alignment horizontal="center"/>
    </xf>
    <xf numFmtId="0" fontId="6" fillId="3" borderId="8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3" fillId="5" borderId="8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3" borderId="20" xfId="0" applyFont="1" applyFill="1" applyBorder="1" applyAlignment="1">
      <alignment horizontal="left" shrinkToFit="1"/>
    </xf>
    <xf numFmtId="0" fontId="0" fillId="0" borderId="18" xfId="0" applyBorder="1" applyAlignment="1">
      <alignment shrinkToFit="1"/>
    </xf>
    <xf numFmtId="0" fontId="6" fillId="6" borderId="8" xfId="0" applyFont="1" applyFill="1" applyBorder="1" applyAlignment="1">
      <alignment horizontal="center"/>
    </xf>
    <xf numFmtId="0" fontId="17" fillId="0" borderId="0" xfId="0" applyFont="1" applyAlignment="1">
      <alignment horizontal="left" wrapText="1"/>
    </xf>
    <xf numFmtId="0" fontId="6" fillId="0" borderId="9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17" fillId="0" borderId="0" xfId="0" applyFont="1" applyAlignment="1">
      <alignment horizontal="center" wrapText="1"/>
    </xf>
    <xf numFmtId="0" fontId="18" fillId="0" borderId="0" xfId="0" applyFont="1" applyAlignment="1">
      <alignment horizontal="left" wrapText="1"/>
    </xf>
    <xf numFmtId="0" fontId="18" fillId="0" borderId="0" xfId="0" applyFont="1"/>
    <xf numFmtId="0" fontId="6" fillId="0" borderId="2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7" borderId="33" xfId="0" applyFont="1" applyFill="1" applyBorder="1" applyAlignment="1">
      <alignment horizontal="center"/>
    </xf>
    <xf numFmtId="0" fontId="6" fillId="7" borderId="19" xfId="0" applyFont="1" applyFill="1" applyBorder="1" applyAlignment="1">
      <alignment horizontal="center"/>
    </xf>
    <xf numFmtId="0" fontId="6" fillId="7" borderId="38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 applyProtection="1">
      <alignment horizontal="left"/>
      <protection locked="0"/>
    </xf>
    <xf numFmtId="0" fontId="6" fillId="3" borderId="20" xfId="0" applyFont="1" applyFill="1" applyBorder="1" applyAlignment="1">
      <alignment horizontal="left"/>
    </xf>
    <xf numFmtId="0" fontId="6" fillId="3" borderId="28" xfId="0" applyFont="1" applyFill="1" applyBorder="1" applyAlignment="1">
      <alignment horizontal="left"/>
    </xf>
    <xf numFmtId="0" fontId="6" fillId="3" borderId="18" xfId="0" applyFont="1" applyFill="1" applyBorder="1" applyAlignment="1">
      <alignment horizontal="left"/>
    </xf>
    <xf numFmtId="0" fontId="2" fillId="0" borderId="35" xfId="0" applyFont="1" applyBorder="1" applyAlignment="1" applyProtection="1">
      <alignment horizontal="left"/>
      <protection locked="0"/>
    </xf>
    <xf numFmtId="0" fontId="2" fillId="0" borderId="36" xfId="0" applyFont="1" applyBorder="1" applyAlignment="1" applyProtection="1">
      <alignment horizontal="left"/>
      <protection locked="0"/>
    </xf>
    <xf numFmtId="0" fontId="2" fillId="0" borderId="40" xfId="0" applyFont="1" applyBorder="1" applyAlignment="1" applyProtection="1">
      <alignment horizontal="left"/>
      <protection locked="0"/>
    </xf>
    <xf numFmtId="0" fontId="6" fillId="0" borderId="28" xfId="0" applyFont="1" applyBorder="1" applyAlignment="1" applyProtection="1">
      <alignment horizontal="left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28" xfId="0" applyFont="1" applyBorder="1" applyAlignment="1" applyProtection="1">
      <alignment horizontal="left"/>
      <protection locked="0"/>
    </xf>
    <xf numFmtId="0" fontId="2" fillId="0" borderId="18" xfId="0" applyFont="1" applyBorder="1" applyAlignment="1" applyProtection="1">
      <alignment horizontal="left"/>
      <protection locked="0"/>
    </xf>
    <xf numFmtId="44" fontId="2" fillId="0" borderId="26" xfId="2" applyFont="1" applyBorder="1" applyAlignment="1" applyProtection="1">
      <alignment horizontal="left"/>
      <protection locked="0"/>
    </xf>
    <xf numFmtId="44" fontId="2" fillId="0" borderId="31" xfId="2" applyFont="1" applyBorder="1" applyAlignment="1" applyProtection="1">
      <alignment horizontal="left"/>
      <protection locked="0"/>
    </xf>
    <xf numFmtId="44" fontId="2" fillId="0" borderId="32" xfId="2" applyFont="1" applyBorder="1" applyAlignment="1" applyProtection="1">
      <alignment horizontal="left"/>
      <protection locked="0"/>
    </xf>
    <xf numFmtId="0" fontId="12" fillId="0" borderId="0" xfId="0" applyFont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0" borderId="2" xfId="0" applyFont="1" applyBorder="1" applyAlignment="1" applyProtection="1">
      <alignment horizontal="left" indent="1"/>
      <protection locked="0"/>
    </xf>
    <xf numFmtId="0" fontId="2" fillId="0" borderId="28" xfId="0" applyFont="1" applyBorder="1" applyAlignment="1" applyProtection="1">
      <alignment horizontal="left" indent="1"/>
      <protection locked="0"/>
    </xf>
    <xf numFmtId="0" fontId="2" fillId="0" borderId="29" xfId="0" applyFont="1" applyBorder="1" applyAlignment="1" applyProtection="1">
      <alignment horizontal="left" indent="1"/>
      <protection locked="0"/>
    </xf>
    <xf numFmtId="0" fontId="6" fillId="3" borderId="30" xfId="0" applyFont="1" applyFill="1" applyBorder="1" applyAlignment="1">
      <alignment horizontal="left" vertical="center"/>
    </xf>
    <xf numFmtId="0" fontId="6" fillId="3" borderId="31" xfId="0" applyFont="1" applyFill="1" applyBorder="1" applyAlignment="1">
      <alignment horizontal="left" vertical="center"/>
    </xf>
    <xf numFmtId="0" fontId="6" fillId="3" borderId="32" xfId="0" applyFont="1" applyFill="1" applyBorder="1" applyAlignment="1">
      <alignment horizontal="left" vertical="center"/>
    </xf>
    <xf numFmtId="168" fontId="2" fillId="0" borderId="2" xfId="0" applyNumberFormat="1" applyFont="1" applyBorder="1" applyAlignment="1" applyProtection="1">
      <alignment horizontal="left" indent="1"/>
      <protection locked="0"/>
    </xf>
    <xf numFmtId="168" fontId="2" fillId="0" borderId="28" xfId="0" applyNumberFormat="1" applyFont="1" applyBorder="1" applyAlignment="1" applyProtection="1">
      <alignment horizontal="left" indent="1"/>
      <protection locked="0"/>
    </xf>
    <xf numFmtId="168" fontId="2" fillId="0" borderId="29" xfId="0" applyNumberFormat="1" applyFont="1" applyBorder="1" applyAlignment="1" applyProtection="1">
      <alignment horizontal="left" indent="1"/>
      <protection locked="0"/>
    </xf>
    <xf numFmtId="0" fontId="6" fillId="0" borderId="33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0" borderId="28" xfId="0" applyFont="1" applyBorder="1" applyAlignment="1">
      <alignment horizontal="left"/>
    </xf>
    <xf numFmtId="0" fontId="6" fillId="0" borderId="34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0" fontId="2" fillId="0" borderId="35" xfId="0" applyFont="1" applyBorder="1" applyAlignment="1" applyProtection="1">
      <alignment horizontal="left" indent="1"/>
      <protection locked="0"/>
    </xf>
    <xf numFmtId="0" fontId="2" fillId="0" borderId="36" xfId="0" applyFont="1" applyBorder="1" applyAlignment="1" applyProtection="1">
      <alignment horizontal="left" indent="1"/>
      <protection locked="0"/>
    </xf>
    <xf numFmtId="0" fontId="2" fillId="0" borderId="37" xfId="0" applyFont="1" applyBorder="1" applyAlignment="1" applyProtection="1">
      <alignment horizontal="left" indent="1"/>
      <protection locked="0"/>
    </xf>
    <xf numFmtId="0" fontId="2" fillId="0" borderId="26" xfId="0" applyFont="1" applyBorder="1" applyAlignment="1" applyProtection="1">
      <alignment horizontal="left" indent="1"/>
      <protection locked="0"/>
    </xf>
    <xf numFmtId="0" fontId="2" fillId="0" borderId="31" xfId="0" applyFont="1" applyBorder="1" applyAlignment="1" applyProtection="1">
      <alignment horizontal="left" indent="1"/>
      <protection locked="0"/>
    </xf>
    <xf numFmtId="0" fontId="2" fillId="0" borderId="27" xfId="0" applyFont="1" applyBorder="1" applyAlignment="1" applyProtection="1">
      <alignment horizontal="left" indent="1"/>
      <protection locked="0"/>
    </xf>
    <xf numFmtId="0" fontId="3" fillId="3" borderId="8" xfId="0" applyFont="1" applyFill="1" applyBorder="1" applyAlignment="1">
      <alignment horizontal="left"/>
    </xf>
    <xf numFmtId="0" fontId="6" fillId="3" borderId="39" xfId="0" applyFont="1" applyFill="1" applyBorder="1" applyAlignment="1">
      <alignment horizontal="left"/>
    </xf>
    <xf numFmtId="0" fontId="6" fillId="3" borderId="36" xfId="0" applyFont="1" applyFill="1" applyBorder="1" applyAlignment="1">
      <alignment horizontal="left"/>
    </xf>
    <xf numFmtId="0" fontId="6" fillId="3" borderId="40" xfId="0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4" borderId="42" xfId="0" applyFont="1" applyFill="1" applyBorder="1" applyAlignment="1">
      <alignment horizontal="center" wrapText="1"/>
    </xf>
    <xf numFmtId="0" fontId="6" fillId="4" borderId="15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6" borderId="3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2" fontId="2" fillId="5" borderId="2" xfId="0" applyNumberFormat="1" applyFont="1" applyFill="1" applyBorder="1" applyAlignment="1">
      <alignment horizontal="center"/>
    </xf>
    <xf numFmtId="2" fontId="2" fillId="5" borderId="18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41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6" fillId="2" borderId="28" xfId="0" applyFont="1" applyFill="1" applyBorder="1" applyAlignment="1">
      <alignment horizontal="center" wrapText="1"/>
    </xf>
    <xf numFmtId="0" fontId="6" fillId="2" borderId="18" xfId="0" applyFont="1" applyFill="1" applyBorder="1" applyAlignment="1">
      <alignment horizontal="center" wrapText="1"/>
    </xf>
    <xf numFmtId="12" fontId="6" fillId="2" borderId="1" xfId="0" applyNumberFormat="1" applyFont="1" applyFill="1" applyBorder="1" applyAlignment="1">
      <alignment horizontal="right"/>
    </xf>
    <xf numFmtId="165" fontId="6" fillId="2" borderId="1" xfId="0" applyNumberFormat="1" applyFont="1" applyFill="1" applyBorder="1" applyAlignment="1">
      <alignment horizontal="left" indent="1"/>
    </xf>
    <xf numFmtId="0" fontId="6" fillId="6" borderId="1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center" wrapText="1"/>
    </xf>
    <xf numFmtId="0" fontId="6" fillId="5" borderId="4" xfId="0" applyFont="1" applyFill="1" applyBorder="1" applyAlignment="1">
      <alignment horizontal="center" wrapText="1"/>
    </xf>
    <xf numFmtId="0" fontId="6" fillId="4" borderId="30" xfId="0" applyFont="1" applyFill="1" applyBorder="1" applyAlignment="1">
      <alignment horizontal="center"/>
    </xf>
    <xf numFmtId="0" fontId="6" fillId="4" borderId="31" xfId="0" applyFont="1" applyFill="1" applyBorder="1" applyAlignment="1">
      <alignment horizontal="center"/>
    </xf>
    <xf numFmtId="0" fontId="6" fillId="4" borderId="2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4" borderId="33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6" fillId="4" borderId="38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7" fillId="7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6" fillId="2" borderId="41" xfId="0" applyFont="1" applyFill="1" applyBorder="1" applyAlignment="1">
      <alignment horizontal="center" wrapText="1"/>
    </xf>
    <xf numFmtId="0" fontId="6" fillId="0" borderId="28" xfId="0" applyFont="1" applyBorder="1" applyAlignment="1">
      <alignment horizontal="center"/>
    </xf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2" fillId="0" borderId="43" xfId="0" applyFont="1" applyBorder="1" applyAlignment="1">
      <alignment horizontal="center" wrapText="1"/>
    </xf>
    <xf numFmtId="0" fontId="0" fillId="0" borderId="16" xfId="0" applyBorder="1"/>
    <xf numFmtId="0" fontId="6" fillId="4" borderId="2" xfId="0" applyFont="1" applyFill="1" applyBorder="1" applyAlignment="1">
      <alignment horizontal="center" wrapText="1"/>
    </xf>
    <xf numFmtId="0" fontId="3" fillId="0" borderId="2" xfId="0" applyFont="1" applyBorder="1" applyAlignment="1" applyProtection="1">
      <alignment horizontal="left"/>
      <protection locked="0"/>
    </xf>
  </cellXfs>
  <cellStyles count="4">
    <cellStyle name="Comma 2" xfId="1" xr:uid="{00000000-0005-0000-0000-000000000000}"/>
    <cellStyle name="Currency" xfId="2" builtinId="4"/>
    <cellStyle name="Normal" xfId="0" builtinId="0"/>
    <cellStyle name="Normal 2" xfId="3" xr:uid="{00000000-0005-0000-0000-000003000000}"/>
  </cellStyles>
  <dxfs count="1">
    <dxf>
      <font>
        <strike val="0"/>
        <condense val="0"/>
        <extend val="0"/>
        <color auto="1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132</xdr:row>
      <xdr:rowOff>38100</xdr:rowOff>
    </xdr:from>
    <xdr:to>
      <xdr:col>5</xdr:col>
      <xdr:colOff>171450</xdr:colOff>
      <xdr:row>150</xdr:row>
      <xdr:rowOff>123825</xdr:rowOff>
    </xdr:to>
    <xdr:pic>
      <xdr:nvPicPr>
        <xdr:cNvPr id="3306" name="Picture 2">
          <a:extLst>
            <a:ext uri="{FF2B5EF4-FFF2-40B4-BE49-F238E27FC236}">
              <a16:creationId xmlns:a16="http://schemas.microsoft.com/office/drawing/2014/main" id="{00000000-0008-0000-0100-0000EA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6354425"/>
          <a:ext cx="3419475" cy="2657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771525</xdr:colOff>
      <xdr:row>153</xdr:row>
      <xdr:rowOff>19050</xdr:rowOff>
    </xdr:from>
    <xdr:to>
      <xdr:col>4</xdr:col>
      <xdr:colOff>552450</xdr:colOff>
      <xdr:row>164</xdr:row>
      <xdr:rowOff>104775</xdr:rowOff>
    </xdr:to>
    <xdr:pic>
      <xdr:nvPicPr>
        <xdr:cNvPr id="3307" name="Picture 2">
          <a:extLst>
            <a:ext uri="{FF2B5EF4-FFF2-40B4-BE49-F238E27FC236}">
              <a16:creationId xmlns:a16="http://schemas.microsoft.com/office/drawing/2014/main" id="{00000000-0008-0000-0100-0000E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9335750"/>
          <a:ext cx="3314700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72</xdr:row>
          <xdr:rowOff>0</xdr:rowOff>
        </xdr:from>
        <xdr:to>
          <xdr:col>4</xdr:col>
          <xdr:colOff>28575</xdr:colOff>
          <xdr:row>72</xdr:row>
          <xdr:rowOff>0</xdr:rowOff>
        </xdr:to>
        <xdr:sp macro="" textlink="">
          <xdr:nvSpPr>
            <xdr:cNvPr id="3073" name="ComboBox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771525</xdr:colOff>
          <xdr:row>72</xdr:row>
          <xdr:rowOff>0</xdr:rowOff>
        </xdr:from>
        <xdr:to>
          <xdr:col>4</xdr:col>
          <xdr:colOff>19050</xdr:colOff>
          <xdr:row>72</xdr:row>
          <xdr:rowOff>0</xdr:rowOff>
        </xdr:to>
        <xdr:sp macro="" textlink="">
          <xdr:nvSpPr>
            <xdr:cNvPr id="3074" name="ComboBox3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image" Target="../media/image1.emf"/><Relationship Id="rId5" Type="http://schemas.openxmlformats.org/officeDocument/2006/relationships/control" Target="../activeX/activeX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K8" sqref="K8"/>
    </sheetView>
  </sheetViews>
  <sheetFormatPr defaultRowHeight="12.75" x14ac:dyDescent="0.2"/>
  <cols>
    <col min="1" max="1" width="9.140625" style="152" customWidth="1"/>
    <col min="2" max="2" width="10.140625" style="152" bestFit="1" customWidth="1"/>
    <col min="3" max="3" width="9.140625" style="152" customWidth="1"/>
    <col min="4" max="4" width="72.85546875" bestFit="1" customWidth="1"/>
  </cols>
  <sheetData>
    <row r="1" spans="1:4" ht="13.5" thickBot="1" x14ac:dyDescent="0.25">
      <c r="A1" s="155" t="s">
        <v>426</v>
      </c>
      <c r="B1" s="156" t="s">
        <v>427</v>
      </c>
      <c r="C1" s="157" t="s">
        <v>431</v>
      </c>
      <c r="D1" s="158" t="s">
        <v>428</v>
      </c>
    </row>
    <row r="2" spans="1:4" ht="25.5" x14ac:dyDescent="0.2">
      <c r="A2" s="152" t="s">
        <v>429</v>
      </c>
      <c r="B2" s="154">
        <v>41960</v>
      </c>
      <c r="C2" s="152" t="s">
        <v>430</v>
      </c>
      <c r="D2" s="153" t="s">
        <v>432</v>
      </c>
    </row>
    <row r="3" spans="1:4" x14ac:dyDescent="0.2">
      <c r="A3" s="160" t="s">
        <v>436</v>
      </c>
      <c r="B3" s="154">
        <v>42377</v>
      </c>
      <c r="C3" s="160" t="s">
        <v>430</v>
      </c>
      <c r="D3" s="161" t="s">
        <v>437</v>
      </c>
    </row>
    <row r="4" spans="1:4" x14ac:dyDescent="0.2">
      <c r="A4" s="152" t="s">
        <v>441</v>
      </c>
      <c r="B4" s="154">
        <v>42510</v>
      </c>
      <c r="C4" s="152" t="s">
        <v>430</v>
      </c>
      <c r="D4" t="s">
        <v>442</v>
      </c>
    </row>
    <row r="5" spans="1:4" ht="25.5" x14ac:dyDescent="0.2">
      <c r="A5" s="152" t="s">
        <v>454</v>
      </c>
      <c r="B5" s="154">
        <v>42485</v>
      </c>
      <c r="C5" s="152" t="s">
        <v>430</v>
      </c>
      <c r="D5" s="153" t="s">
        <v>462</v>
      </c>
    </row>
    <row r="6" spans="1:4" x14ac:dyDescent="0.2">
      <c r="A6" s="152" t="s">
        <v>465</v>
      </c>
      <c r="B6" s="154">
        <v>43515</v>
      </c>
      <c r="C6" s="152" t="s">
        <v>430</v>
      </c>
      <c r="D6" t="s">
        <v>466</v>
      </c>
    </row>
    <row r="7" spans="1:4" x14ac:dyDescent="0.2">
      <c r="A7" s="152" t="s">
        <v>474</v>
      </c>
      <c r="B7" s="154">
        <v>43563</v>
      </c>
      <c r="C7" s="152" t="s">
        <v>430</v>
      </c>
      <c r="D7" t="s">
        <v>475</v>
      </c>
    </row>
    <row r="8" spans="1:4" ht="45" x14ac:dyDescent="0.2">
      <c r="A8" s="152">
        <v>6</v>
      </c>
      <c r="B8" s="160" t="s">
        <v>479</v>
      </c>
      <c r="C8" s="160" t="s">
        <v>430</v>
      </c>
      <c r="D8" s="165" t="s">
        <v>478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B154"/>
  <sheetViews>
    <sheetView showGridLines="0" tabSelected="1" zoomScale="115" zoomScaleNormal="115" zoomScaleSheetLayoutView="100" workbookViewId="0">
      <selection activeCell="C4" sqref="C4:G4"/>
    </sheetView>
  </sheetViews>
  <sheetFormatPr defaultRowHeight="11.25" x14ac:dyDescent="0.2"/>
  <cols>
    <col min="1" max="1" width="11.7109375" style="3" customWidth="1"/>
    <col min="2" max="2" width="2.85546875" style="3" bestFit="1" customWidth="1"/>
    <col min="3" max="3" width="29.7109375" style="4" customWidth="1"/>
    <col min="4" max="5" width="8.7109375" style="1" customWidth="1"/>
    <col min="6" max="6" width="8.42578125" style="1" customWidth="1"/>
    <col min="7" max="7" width="4.7109375" style="1" customWidth="1"/>
    <col min="8" max="8" width="18.5703125" style="1" customWidth="1"/>
    <col min="9" max="9" width="13.7109375" style="1" customWidth="1"/>
    <col min="10" max="10" width="10.7109375" style="1" customWidth="1"/>
    <col min="11" max="11" width="2.140625" style="1" customWidth="1"/>
    <col min="12" max="12" width="18.140625" style="4" customWidth="1"/>
    <col min="13" max="13" width="16.42578125" style="1" hidden="1" customWidth="1"/>
    <col min="14" max="14" width="9.5703125" style="1" hidden="1" customWidth="1"/>
    <col min="15" max="15" width="16" style="1" hidden="1" customWidth="1"/>
    <col min="16" max="16" width="14.42578125" style="1" hidden="1" customWidth="1"/>
    <col min="17" max="17" width="26.5703125" style="1" hidden="1" customWidth="1"/>
    <col min="18" max="18" width="9.140625" style="1" hidden="1" customWidth="1"/>
    <col min="19" max="20" width="17.85546875" style="1" hidden="1" customWidth="1"/>
    <col min="21" max="21" width="3.5703125" style="1" hidden="1" customWidth="1"/>
    <col min="22" max="22" width="25.7109375" style="1" hidden="1" customWidth="1"/>
    <col min="23" max="23" width="3.5703125" style="1" hidden="1" customWidth="1"/>
    <col min="24" max="24" width="9.140625" style="1" hidden="1" customWidth="1"/>
    <col min="25" max="25" width="64.85546875" style="1" hidden="1" customWidth="1"/>
    <col min="26" max="26" width="23.7109375" style="1" hidden="1" customWidth="1"/>
    <col min="27" max="16384" width="9.140625" style="1"/>
  </cols>
  <sheetData>
    <row r="1" spans="1:28" ht="15.75" x14ac:dyDescent="0.25">
      <c r="A1" s="217" t="s">
        <v>390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M1" s="42" t="s">
        <v>477</v>
      </c>
      <c r="N1" s="42" t="s">
        <v>107</v>
      </c>
      <c r="O1" s="42" t="s">
        <v>178</v>
      </c>
      <c r="P1" s="3" t="s">
        <v>180</v>
      </c>
      <c r="Q1" s="3" t="s">
        <v>340</v>
      </c>
      <c r="R1" s="3" t="s">
        <v>373</v>
      </c>
      <c r="V1" s="3" t="s">
        <v>251</v>
      </c>
      <c r="X1" s="3" t="s">
        <v>300</v>
      </c>
      <c r="Y1" s="3" t="s">
        <v>301</v>
      </c>
      <c r="Z1" s="3" t="s">
        <v>302</v>
      </c>
    </row>
    <row r="2" spans="1:28" ht="12" thickBot="1" x14ac:dyDescent="0.25">
      <c r="M2" s="122" t="s">
        <v>214</v>
      </c>
      <c r="N2" s="81" t="s">
        <v>12</v>
      </c>
      <c r="O2" s="81" t="s">
        <v>12</v>
      </c>
      <c r="P2" s="81" t="s">
        <v>12</v>
      </c>
      <c r="Q2" s="1" t="s">
        <v>61</v>
      </c>
      <c r="R2" s="135">
        <f>((D10*12000)/(120.83-28.85))/0.7</f>
        <v>1658.7456900568448</v>
      </c>
      <c r="S2" s="201" t="s">
        <v>236</v>
      </c>
      <c r="T2" s="201"/>
    </row>
    <row r="3" spans="1:28" ht="12.75" customHeight="1" x14ac:dyDescent="0.2">
      <c r="A3" s="229" t="s">
        <v>16</v>
      </c>
      <c r="B3" s="230"/>
      <c r="C3" s="214" t="s">
        <v>482</v>
      </c>
      <c r="D3" s="215"/>
      <c r="E3" s="215"/>
      <c r="F3" s="215"/>
      <c r="G3" s="216"/>
      <c r="H3" s="124" t="s">
        <v>212</v>
      </c>
      <c r="I3" s="238" t="s">
        <v>298</v>
      </c>
      <c r="J3" s="239"/>
      <c r="K3" s="240"/>
      <c r="M3" s="122" t="s">
        <v>215</v>
      </c>
      <c r="N3" s="4">
        <v>10</v>
      </c>
      <c r="O3" s="4" t="s">
        <v>179</v>
      </c>
      <c r="P3" s="4"/>
      <c r="Q3" s="1" t="s">
        <v>70</v>
      </c>
      <c r="R3" s="36">
        <v>71.510000000000005</v>
      </c>
      <c r="S3" s="201" t="s">
        <v>237</v>
      </c>
      <c r="T3" s="201"/>
      <c r="V3" s="1" t="s">
        <v>252</v>
      </c>
      <c r="X3" s="1" t="s">
        <v>472</v>
      </c>
      <c r="Y3" s="1" t="s">
        <v>368</v>
      </c>
      <c r="Z3" s="1" t="s">
        <v>370</v>
      </c>
    </row>
    <row r="4" spans="1:28" ht="12.75" customHeight="1" x14ac:dyDescent="0.2">
      <c r="A4" s="231" t="s">
        <v>207</v>
      </c>
      <c r="B4" s="232"/>
      <c r="C4" s="211" t="s">
        <v>485</v>
      </c>
      <c r="D4" s="212"/>
      <c r="E4" s="212"/>
      <c r="F4" s="212"/>
      <c r="G4" s="213"/>
      <c r="H4" s="123" t="s">
        <v>211</v>
      </c>
      <c r="I4" s="220" t="s">
        <v>483</v>
      </c>
      <c r="J4" s="221"/>
      <c r="K4" s="222"/>
      <c r="M4" s="122" t="s">
        <v>210</v>
      </c>
      <c r="N4" s="4"/>
      <c r="O4" s="4">
        <v>80</v>
      </c>
      <c r="P4" s="4"/>
      <c r="Q4" s="1" t="s">
        <v>75</v>
      </c>
      <c r="R4" s="136">
        <f>R2/(R3*60)</f>
        <v>0.38659993708498686</v>
      </c>
      <c r="S4" s="201" t="s">
        <v>238</v>
      </c>
      <c r="T4" s="201"/>
      <c r="V4" s="1" t="s">
        <v>438</v>
      </c>
      <c r="X4" s="1" t="s">
        <v>471</v>
      </c>
      <c r="Y4" s="1" t="s">
        <v>369</v>
      </c>
      <c r="Z4" s="1" t="s">
        <v>370</v>
      </c>
    </row>
    <row r="5" spans="1:28" ht="12.75" customHeight="1" x14ac:dyDescent="0.2">
      <c r="A5" s="231" t="s">
        <v>208</v>
      </c>
      <c r="B5" s="232"/>
      <c r="C5" s="296"/>
      <c r="D5" s="209"/>
      <c r="E5" s="209"/>
      <c r="F5" s="209"/>
      <c r="G5" s="210"/>
      <c r="H5" s="123" t="s">
        <v>24</v>
      </c>
      <c r="I5" s="226">
        <f ca="1">TODAY()</f>
        <v>45728</v>
      </c>
      <c r="J5" s="227"/>
      <c r="K5" s="228"/>
      <c r="M5" s="1" t="s">
        <v>446</v>
      </c>
      <c r="N5" s="4"/>
      <c r="O5" s="4">
        <v>90</v>
      </c>
      <c r="P5" s="4"/>
      <c r="Q5" s="1" t="s">
        <v>71</v>
      </c>
      <c r="R5" s="137">
        <f>1/0.4314</f>
        <v>2.3180343069077423</v>
      </c>
      <c r="S5" s="201" t="s">
        <v>239</v>
      </c>
      <c r="T5" s="201"/>
      <c r="V5" s="1" t="s">
        <v>253</v>
      </c>
      <c r="X5" s="1" t="s">
        <v>470</v>
      </c>
      <c r="Y5" s="1" t="s">
        <v>473</v>
      </c>
      <c r="Z5" s="1" t="s">
        <v>370</v>
      </c>
    </row>
    <row r="6" spans="1:28" ht="12.75" customHeight="1" thickBot="1" x14ac:dyDescent="0.25">
      <c r="A6" s="233" t="s">
        <v>209</v>
      </c>
      <c r="B6" s="234"/>
      <c r="C6" s="206" t="s">
        <v>210</v>
      </c>
      <c r="D6" s="207"/>
      <c r="E6" s="207"/>
      <c r="F6" s="207"/>
      <c r="G6" s="208"/>
      <c r="H6" s="125"/>
      <c r="I6" s="235"/>
      <c r="J6" s="236"/>
      <c r="K6" s="237"/>
      <c r="O6" s="4">
        <v>100</v>
      </c>
      <c r="P6" s="4"/>
      <c r="Q6" s="1" t="s">
        <v>72</v>
      </c>
      <c r="R6" s="136">
        <f>R2/(R5*60)</f>
        <v>11.926381511508714</v>
      </c>
      <c r="S6" s="201" t="s">
        <v>240</v>
      </c>
      <c r="T6" s="201"/>
      <c r="V6" s="1" t="s">
        <v>254</v>
      </c>
      <c r="X6" s="1" t="s">
        <v>361</v>
      </c>
      <c r="Y6" s="1" t="s">
        <v>360</v>
      </c>
      <c r="Z6" s="1" t="s">
        <v>218</v>
      </c>
    </row>
    <row r="7" spans="1:28" ht="12" thickBot="1" x14ac:dyDescent="0.25">
      <c r="O7" s="4">
        <v>110</v>
      </c>
      <c r="Q7" s="1" t="s">
        <v>73</v>
      </c>
      <c r="R7" s="137">
        <f>1/0.1114</f>
        <v>8.9766606822262123</v>
      </c>
      <c r="S7" s="201" t="s">
        <v>247</v>
      </c>
      <c r="T7" s="201"/>
      <c r="V7" s="1" t="s">
        <v>255</v>
      </c>
      <c r="X7" s="1" t="s">
        <v>362</v>
      </c>
      <c r="Y7" s="1" t="s">
        <v>367</v>
      </c>
      <c r="Z7" s="1" t="s">
        <v>218</v>
      </c>
      <c r="AB7" s="11">
        <v>426725</v>
      </c>
    </row>
    <row r="8" spans="1:28" ht="12.75" customHeight="1" x14ac:dyDescent="0.2">
      <c r="A8" s="223" t="s">
        <v>17</v>
      </c>
      <c r="B8" s="224"/>
      <c r="C8" s="225"/>
      <c r="D8" s="218" t="s">
        <v>221</v>
      </c>
      <c r="E8" s="219"/>
      <c r="O8" s="4">
        <v>120</v>
      </c>
      <c r="Q8" s="1" t="s">
        <v>74</v>
      </c>
      <c r="R8" s="137">
        <f>R7*(125+460.6)/(180+460.6)</f>
        <v>8.2059514447575239</v>
      </c>
      <c r="S8" s="201" t="s">
        <v>248</v>
      </c>
      <c r="T8" s="201"/>
      <c r="V8" s="1" t="s">
        <v>256</v>
      </c>
      <c r="X8" s="1" t="s">
        <v>363</v>
      </c>
      <c r="Y8" s="1" t="s">
        <v>366</v>
      </c>
      <c r="Z8" s="1" t="s">
        <v>218</v>
      </c>
      <c r="AB8" s="1">
        <f>AB7/2</f>
        <v>213362.5</v>
      </c>
    </row>
    <row r="9" spans="1:28" x14ac:dyDescent="0.2">
      <c r="A9" s="203" t="s">
        <v>388</v>
      </c>
      <c r="B9" s="204"/>
      <c r="C9" s="205"/>
      <c r="D9" s="133">
        <v>17.8</v>
      </c>
      <c r="E9" s="166" t="s">
        <v>101</v>
      </c>
      <c r="F9" s="202" t="s">
        <v>484</v>
      </c>
      <c r="G9" s="202"/>
      <c r="H9" s="202"/>
      <c r="I9" s="202"/>
      <c r="J9" s="202"/>
      <c r="K9" s="202"/>
      <c r="O9" s="4">
        <v>130</v>
      </c>
      <c r="Q9" s="1" t="s">
        <v>60</v>
      </c>
      <c r="R9" s="136">
        <f>R2/(R8*60)</f>
        <v>3.3689891643959529</v>
      </c>
      <c r="S9" s="201" t="s">
        <v>241</v>
      </c>
      <c r="T9" s="201"/>
      <c r="V9" s="1" t="s">
        <v>257</v>
      </c>
      <c r="X9" s="1" t="s">
        <v>364</v>
      </c>
      <c r="Y9" s="1" t="s">
        <v>365</v>
      </c>
      <c r="Z9" s="1" t="s">
        <v>218</v>
      </c>
      <c r="AB9" s="11">
        <f>AB8/12000</f>
        <v>17.780208333333334</v>
      </c>
    </row>
    <row r="10" spans="1:28" x14ac:dyDescent="0.2">
      <c r="A10" s="203" t="s">
        <v>389</v>
      </c>
      <c r="B10" s="204"/>
      <c r="C10" s="205"/>
      <c r="D10" s="133">
        <f>+D9/2</f>
        <v>8.9</v>
      </c>
      <c r="E10" s="166" t="s">
        <v>101</v>
      </c>
      <c r="F10" s="202" t="s">
        <v>371</v>
      </c>
      <c r="G10" s="202"/>
      <c r="H10" s="202"/>
      <c r="I10" s="202"/>
      <c r="J10" s="202"/>
      <c r="K10" s="202"/>
      <c r="Q10" s="1" t="s">
        <v>64</v>
      </c>
      <c r="V10" s="1" t="s">
        <v>258</v>
      </c>
      <c r="X10" s="1" t="s">
        <v>303</v>
      </c>
      <c r="Y10" s="1" t="s">
        <v>341</v>
      </c>
      <c r="Z10" s="1" t="s">
        <v>218</v>
      </c>
    </row>
    <row r="11" spans="1:28" x14ac:dyDescent="0.2">
      <c r="A11" s="203" t="s">
        <v>105</v>
      </c>
      <c r="B11" s="204"/>
      <c r="C11" s="205"/>
      <c r="D11" s="130">
        <v>120</v>
      </c>
      <c r="E11" s="167" t="s">
        <v>12</v>
      </c>
      <c r="F11" s="202" t="s">
        <v>217</v>
      </c>
      <c r="G11" s="202"/>
      <c r="H11" s="202"/>
      <c r="I11" s="202"/>
      <c r="J11" s="202"/>
      <c r="K11" s="202"/>
      <c r="Q11" s="1" t="s">
        <v>62</v>
      </c>
      <c r="S11" s="4" t="s">
        <v>242</v>
      </c>
      <c r="T11" s="4" t="s">
        <v>243</v>
      </c>
      <c r="V11" s="1" t="s">
        <v>259</v>
      </c>
      <c r="X11" s="1" t="s">
        <v>304</v>
      </c>
      <c r="Y11" s="1" t="s">
        <v>341</v>
      </c>
      <c r="Z11" s="1" t="s">
        <v>218</v>
      </c>
    </row>
    <row r="12" spans="1:28" x14ac:dyDescent="0.2">
      <c r="A12" s="203" t="s">
        <v>106</v>
      </c>
      <c r="B12" s="204"/>
      <c r="C12" s="205"/>
      <c r="D12" s="130">
        <v>40</v>
      </c>
      <c r="E12" s="167" t="s">
        <v>12</v>
      </c>
      <c r="F12" s="202" t="s">
        <v>219</v>
      </c>
      <c r="G12" s="202"/>
      <c r="H12" s="202"/>
      <c r="I12" s="202"/>
      <c r="J12" s="202"/>
      <c r="K12" s="202"/>
      <c r="Q12" s="1" t="s">
        <v>63</v>
      </c>
      <c r="R12" s="4" t="s">
        <v>244</v>
      </c>
      <c r="S12" s="4" t="s">
        <v>245</v>
      </c>
      <c r="T12" s="4" t="s">
        <v>246</v>
      </c>
      <c r="V12" s="1" t="s">
        <v>445</v>
      </c>
      <c r="X12" s="1" t="s">
        <v>305</v>
      </c>
      <c r="Y12" s="1" t="s">
        <v>385</v>
      </c>
      <c r="Z12" s="1" t="s">
        <v>371</v>
      </c>
    </row>
    <row r="13" spans="1:28" x14ac:dyDescent="0.2">
      <c r="A13" s="203" t="s">
        <v>107</v>
      </c>
      <c r="B13" s="204"/>
      <c r="C13" s="205"/>
      <c r="D13" s="130">
        <v>10</v>
      </c>
      <c r="E13" s="167" t="s">
        <v>12</v>
      </c>
      <c r="F13" s="202" t="s">
        <v>217</v>
      </c>
      <c r="G13" s="202"/>
      <c r="H13" s="202"/>
      <c r="I13" s="202"/>
      <c r="J13" s="202"/>
      <c r="K13" s="202"/>
      <c r="N13" s="4"/>
      <c r="Q13" s="1" t="s">
        <v>65</v>
      </c>
      <c r="R13" s="7">
        <v>0.5</v>
      </c>
      <c r="S13" s="4">
        <v>0.43</v>
      </c>
      <c r="T13" s="115">
        <f t="shared" ref="T13:T19" si="0">(PI()*(S13^2)/4)/144</f>
        <v>1.0084730584179735E-3</v>
      </c>
      <c r="V13" s="1" t="s">
        <v>260</v>
      </c>
      <c r="X13" s="1" t="s">
        <v>452</v>
      </c>
      <c r="Y13" s="1" t="s">
        <v>453</v>
      </c>
      <c r="Z13" s="1" t="s">
        <v>448</v>
      </c>
    </row>
    <row r="14" spans="1:28" ht="12" thickBot="1" x14ac:dyDescent="0.25">
      <c r="A14" s="242" t="s">
        <v>181</v>
      </c>
      <c r="B14" s="243"/>
      <c r="C14" s="244"/>
      <c r="D14" s="129">
        <f>IF(D11=80,140,IF(D11=100,160,IF(D11=120,180,190)))</f>
        <v>180</v>
      </c>
      <c r="E14" s="168" t="s">
        <v>12</v>
      </c>
      <c r="F14" s="202" t="s">
        <v>220</v>
      </c>
      <c r="G14" s="202"/>
      <c r="H14" s="202"/>
      <c r="I14" s="202"/>
      <c r="J14" s="202"/>
      <c r="K14" s="202"/>
      <c r="Q14" s="1" t="s">
        <v>52</v>
      </c>
      <c r="R14" s="7">
        <v>0.625</v>
      </c>
      <c r="S14" s="4">
        <v>0.54500000000000004</v>
      </c>
      <c r="T14" s="115">
        <f t="shared" si="0"/>
        <v>1.6200200658550495E-3</v>
      </c>
      <c r="V14" s="1" t="s">
        <v>261</v>
      </c>
      <c r="X14" s="1" t="s">
        <v>306</v>
      </c>
      <c r="Y14" s="1" t="s">
        <v>385</v>
      </c>
      <c r="Z14" s="1" t="s">
        <v>371</v>
      </c>
    </row>
    <row r="15" spans="1:28" ht="12" thickBot="1" x14ac:dyDescent="0.25">
      <c r="A15" s="1" t="s">
        <v>481</v>
      </c>
      <c r="Q15" s="1" t="s">
        <v>53</v>
      </c>
      <c r="R15" s="7">
        <v>0.75</v>
      </c>
      <c r="S15" s="4">
        <v>0.66600000000000004</v>
      </c>
      <c r="T15" s="115">
        <f t="shared" si="0"/>
        <v>2.4192226928049904E-3</v>
      </c>
      <c r="V15" s="1" t="s">
        <v>262</v>
      </c>
      <c r="X15" s="1" t="s">
        <v>307</v>
      </c>
      <c r="Y15" s="1" t="s">
        <v>386</v>
      </c>
      <c r="Z15" s="1" t="s">
        <v>371</v>
      </c>
    </row>
    <row r="16" spans="1:28" x14ac:dyDescent="0.2">
      <c r="C16" s="198" t="s">
        <v>18</v>
      </c>
      <c r="D16" s="199"/>
      <c r="E16" s="199"/>
      <c r="F16" s="199"/>
      <c r="G16" s="199"/>
      <c r="H16" s="199"/>
      <c r="I16" s="199"/>
      <c r="J16" s="200"/>
      <c r="Q16" s="1" t="s">
        <v>54</v>
      </c>
      <c r="R16" s="7">
        <v>0.875</v>
      </c>
      <c r="S16" s="4">
        <v>0.78500000000000003</v>
      </c>
      <c r="T16" s="115">
        <f t="shared" si="0"/>
        <v>3.3609859947193927E-3</v>
      </c>
      <c r="V16" s="1" t="s">
        <v>419</v>
      </c>
      <c r="X16" s="1" t="s">
        <v>450</v>
      </c>
      <c r="Y16" s="1" t="s">
        <v>451</v>
      </c>
      <c r="Z16" s="1" t="s">
        <v>448</v>
      </c>
    </row>
    <row r="17" spans="2:27" x14ac:dyDescent="0.2">
      <c r="C17" s="70"/>
      <c r="J17" s="71"/>
      <c r="Q17" s="1" t="s">
        <v>55</v>
      </c>
      <c r="R17" s="7">
        <v>1.125</v>
      </c>
      <c r="S17" s="4">
        <v>1.0249999999999999</v>
      </c>
      <c r="T17" s="138">
        <f t="shared" si="0"/>
        <v>5.7302704543016943E-3</v>
      </c>
      <c r="V17" s="1" t="s">
        <v>420</v>
      </c>
      <c r="X17" s="1" t="s">
        <v>308</v>
      </c>
      <c r="Y17" s="1" t="s">
        <v>386</v>
      </c>
      <c r="Z17" s="1" t="s">
        <v>371</v>
      </c>
    </row>
    <row r="18" spans="2:27" x14ac:dyDescent="0.2">
      <c r="C18" s="187" t="s">
        <v>87</v>
      </c>
      <c r="D18" s="180"/>
      <c r="E18" s="180"/>
      <c r="F18" s="180"/>
      <c r="H18" s="180" t="s">
        <v>41</v>
      </c>
      <c r="I18" s="180"/>
      <c r="J18" s="181"/>
      <c r="Q18" s="1" t="s">
        <v>56</v>
      </c>
      <c r="R18" s="7">
        <v>1.375</v>
      </c>
      <c r="S18" s="4">
        <v>1.2649999999999999</v>
      </c>
      <c r="T18" s="115">
        <f t="shared" si="0"/>
        <v>8.7278734446019548E-3</v>
      </c>
      <c r="V18" s="1" t="s">
        <v>421</v>
      </c>
      <c r="X18" s="1" t="s">
        <v>309</v>
      </c>
      <c r="Y18" s="1" t="s">
        <v>387</v>
      </c>
      <c r="Z18" s="1" t="s">
        <v>371</v>
      </c>
    </row>
    <row r="19" spans="2:27" x14ac:dyDescent="0.2">
      <c r="C19" s="98" t="s">
        <v>143</v>
      </c>
      <c r="D19" s="95" t="s">
        <v>144</v>
      </c>
      <c r="E19" s="196" t="s">
        <v>145</v>
      </c>
      <c r="F19" s="197"/>
      <c r="H19" s="67" t="s">
        <v>19</v>
      </c>
      <c r="I19" s="68">
        <f>'R-410A_Data'!C25</f>
        <v>100</v>
      </c>
      <c r="J19" s="72" t="s">
        <v>85</v>
      </c>
      <c r="Q19" s="1" t="s">
        <v>57</v>
      </c>
      <c r="R19" s="7">
        <v>1.625</v>
      </c>
      <c r="S19" s="4">
        <v>1.5049999999999999</v>
      </c>
      <c r="T19" s="115">
        <f t="shared" si="0"/>
        <v>1.2353794965620174E-2</v>
      </c>
      <c r="V19" s="1" t="s">
        <v>422</v>
      </c>
      <c r="X19" s="1" t="s">
        <v>447</v>
      </c>
      <c r="Y19" s="1" t="s">
        <v>449</v>
      </c>
      <c r="Z19" s="1" t="s">
        <v>448</v>
      </c>
    </row>
    <row r="20" spans="2:27" x14ac:dyDescent="0.2">
      <c r="B20" s="42"/>
      <c r="C20" s="128" t="s">
        <v>70</v>
      </c>
      <c r="D20" s="120">
        <v>8</v>
      </c>
      <c r="E20" s="49">
        <f>'R-410A_Equivalent_Length'!D30</f>
        <v>12</v>
      </c>
      <c r="F20" s="170" t="s">
        <v>85</v>
      </c>
      <c r="H20" s="67" t="s">
        <v>25</v>
      </c>
      <c r="I20" s="50">
        <f>'R-410A_Data'!C27</f>
        <v>1</v>
      </c>
      <c r="J20" s="73" t="s">
        <v>12</v>
      </c>
      <c r="Q20" s="1" t="s">
        <v>58</v>
      </c>
      <c r="R20" s="7">
        <v>2.125</v>
      </c>
      <c r="S20" s="122">
        <v>1.9850000000000001</v>
      </c>
      <c r="T20" s="139">
        <f>(PI()*(S20^2)/4)/144</f>
        <v>2.1490593599810495E-2</v>
      </c>
      <c r="V20" s="1" t="s">
        <v>423</v>
      </c>
      <c r="X20" s="1" t="s">
        <v>310</v>
      </c>
      <c r="Y20" s="1" t="s">
        <v>387</v>
      </c>
      <c r="Z20" s="1" t="s">
        <v>371</v>
      </c>
    </row>
    <row r="21" spans="2:27" x14ac:dyDescent="0.2">
      <c r="B21" s="42"/>
      <c r="C21" s="128" t="s">
        <v>72</v>
      </c>
      <c r="D21" s="120">
        <v>0</v>
      </c>
      <c r="E21" s="50">
        <f>'R-410A_Equivalent_Length'!D36</f>
        <v>0</v>
      </c>
      <c r="F21" s="170" t="s">
        <v>85</v>
      </c>
      <c r="H21" s="67" t="s">
        <v>26</v>
      </c>
      <c r="I21" s="68">
        <f>'R-410A_Data'!K8</f>
        <v>4.75</v>
      </c>
      <c r="J21" s="72" t="s">
        <v>100</v>
      </c>
      <c r="Q21" s="1" t="s">
        <v>59</v>
      </c>
      <c r="R21" s="7">
        <v>2.625</v>
      </c>
      <c r="S21" s="122">
        <v>2.4649999999999999</v>
      </c>
      <c r="T21" s="115">
        <f t="shared" ref="T21:T27" si="1">(PI()*(S21^2)/4)/144</f>
        <v>3.3140666356872635E-2</v>
      </c>
      <c r="V21" s="1" t="s">
        <v>263</v>
      </c>
      <c r="X21" s="1" t="s">
        <v>311</v>
      </c>
      <c r="Y21" s="1" t="s">
        <v>342</v>
      </c>
      <c r="Z21" s="1" t="s">
        <v>371</v>
      </c>
    </row>
    <row r="22" spans="2:27" x14ac:dyDescent="0.2">
      <c r="B22" s="42"/>
      <c r="C22" s="128" t="s">
        <v>65</v>
      </c>
      <c r="D22" s="120">
        <v>1</v>
      </c>
      <c r="E22" s="50">
        <f>'R-410A_Equivalent_Length'!D42</f>
        <v>17.5</v>
      </c>
      <c r="F22" s="170" t="s">
        <v>85</v>
      </c>
      <c r="H22" s="67" t="s">
        <v>20</v>
      </c>
      <c r="I22" s="68">
        <f>'R-410A_Data'!O9</f>
        <v>14.3</v>
      </c>
      <c r="J22" s="72" t="s">
        <v>101</v>
      </c>
      <c r="L22" s="4" t="s">
        <v>97</v>
      </c>
      <c r="Q22" s="1" t="s">
        <v>78</v>
      </c>
      <c r="R22" s="7">
        <v>3.125</v>
      </c>
      <c r="S22" s="122">
        <v>2.9449999999999998</v>
      </c>
      <c r="T22" s="115">
        <f t="shared" si="1"/>
        <v>4.7304013236806622E-2</v>
      </c>
      <c r="V22" s="1" t="s">
        <v>264</v>
      </c>
      <c r="X22" s="1" t="s">
        <v>312</v>
      </c>
      <c r="Y22" s="1" t="s">
        <v>343</v>
      </c>
      <c r="Z22" s="1" t="s">
        <v>371</v>
      </c>
    </row>
    <row r="23" spans="2:27" x14ac:dyDescent="0.2">
      <c r="B23" s="42"/>
      <c r="C23" s="128" t="s">
        <v>57</v>
      </c>
      <c r="D23" s="120">
        <v>1</v>
      </c>
      <c r="E23" s="50">
        <f>'R-410A_Equivalent_Length'!I30</f>
        <v>1.1000000000000001</v>
      </c>
      <c r="F23" s="170" t="s">
        <v>85</v>
      </c>
      <c r="H23" s="180" t="s">
        <v>96</v>
      </c>
      <c r="I23" s="180"/>
      <c r="J23" s="181"/>
      <c r="R23" s="7">
        <v>3.625</v>
      </c>
      <c r="S23" s="8">
        <v>3.4249999999999998</v>
      </c>
      <c r="T23" s="115">
        <f t="shared" si="1"/>
        <v>6.3980634239612436E-2</v>
      </c>
      <c r="V23" s="1" t="s">
        <v>265</v>
      </c>
      <c r="X23" s="1" t="s">
        <v>313</v>
      </c>
      <c r="Y23" s="1" t="s">
        <v>343</v>
      </c>
      <c r="Z23" s="1" t="s">
        <v>371</v>
      </c>
    </row>
    <row r="24" spans="2:27" x14ac:dyDescent="0.2">
      <c r="B24" s="42"/>
      <c r="C24" s="128" t="s">
        <v>58</v>
      </c>
      <c r="D24" s="120">
        <v>1</v>
      </c>
      <c r="E24" s="50">
        <f>'R-410A_Equivalent_Length'!I36</f>
        <v>13.5</v>
      </c>
      <c r="F24" s="170" t="s">
        <v>85</v>
      </c>
      <c r="H24" s="67" t="s">
        <v>21</v>
      </c>
      <c r="I24" s="50">
        <f>SUM(E27,E20:E25)+12</f>
        <v>116.1</v>
      </c>
      <c r="J24" s="166" t="s">
        <v>85</v>
      </c>
      <c r="L24" s="141"/>
      <c r="R24" s="7">
        <v>4.125</v>
      </c>
      <c r="S24" s="4">
        <v>3.9049999999999998</v>
      </c>
      <c r="T24" s="115">
        <f t="shared" si="1"/>
        <v>8.3170529365290083E-2</v>
      </c>
      <c r="V24" s="1" t="s">
        <v>266</v>
      </c>
      <c r="X24" s="1" t="s">
        <v>314</v>
      </c>
      <c r="Y24" s="1" t="s">
        <v>344</v>
      </c>
      <c r="Z24" s="1" t="s">
        <v>371</v>
      </c>
      <c r="AA24" s="3"/>
    </row>
    <row r="25" spans="2:27" x14ac:dyDescent="0.2">
      <c r="B25" s="42"/>
      <c r="C25" s="128" t="s">
        <v>61</v>
      </c>
      <c r="D25" s="120">
        <v>0</v>
      </c>
      <c r="E25" s="50">
        <f>'R-410A_Equivalent_Length'!I42</f>
        <v>0</v>
      </c>
      <c r="F25" s="170" t="s">
        <v>85</v>
      </c>
      <c r="H25" s="67" t="s">
        <v>27</v>
      </c>
      <c r="I25" s="69">
        <f>I20*(I24/I19)*(D9/I22)^1.8</f>
        <v>1.7218025887832706</v>
      </c>
      <c r="J25" s="167" t="s">
        <v>12</v>
      </c>
      <c r="R25" s="7">
        <v>5.125</v>
      </c>
      <c r="S25" s="4">
        <v>4.875</v>
      </c>
      <c r="T25" s="115">
        <f t="shared" si="1"/>
        <v>0.12962137657633666</v>
      </c>
      <c r="V25" s="1" t="s">
        <v>463</v>
      </c>
      <c r="X25" s="1" t="s">
        <v>315</v>
      </c>
      <c r="Y25" s="1" t="s">
        <v>382</v>
      </c>
      <c r="Z25" s="1" t="s">
        <v>371</v>
      </c>
    </row>
    <row r="26" spans="2:27" x14ac:dyDescent="0.2">
      <c r="C26" s="70"/>
      <c r="F26" s="171"/>
      <c r="H26" s="67" t="s">
        <v>28</v>
      </c>
      <c r="I26" s="69">
        <f>I21*(I25/I20)</f>
        <v>8.1785622967205356</v>
      </c>
      <c r="J26" s="166" t="s">
        <v>100</v>
      </c>
      <c r="R26" s="7">
        <v>6.125</v>
      </c>
      <c r="S26" s="4">
        <v>5.8449999999999998</v>
      </c>
      <c r="T26" s="115">
        <f t="shared" si="1"/>
        <v>0.18633585061989238</v>
      </c>
      <c r="V26" s="1" t="s">
        <v>267</v>
      </c>
      <c r="X26" s="1" t="s">
        <v>316</v>
      </c>
      <c r="Y26" s="1" t="s">
        <v>382</v>
      </c>
      <c r="Z26" s="1" t="s">
        <v>371</v>
      </c>
    </row>
    <row r="27" spans="2:27" x14ac:dyDescent="0.2">
      <c r="C27" s="176" t="s">
        <v>197</v>
      </c>
      <c r="D27" s="177"/>
      <c r="E27" s="131">
        <v>60</v>
      </c>
      <c r="F27" s="170" t="s">
        <v>85</v>
      </c>
      <c r="H27" s="67" t="s">
        <v>22</v>
      </c>
      <c r="I27" s="50">
        <f>I22*((I19/I24)*(I25/I20))^0.55</f>
        <v>17.761071502600238</v>
      </c>
      <c r="J27" s="166" t="s">
        <v>101</v>
      </c>
      <c r="R27" s="7">
        <v>8.125</v>
      </c>
      <c r="S27" s="4">
        <v>7.7249999999999996</v>
      </c>
      <c r="T27" s="115">
        <f t="shared" si="1"/>
        <v>0.32548004357357535</v>
      </c>
      <c r="V27" s="1" t="s">
        <v>458</v>
      </c>
      <c r="X27" s="1" t="s">
        <v>317</v>
      </c>
      <c r="Y27" s="1" t="s">
        <v>345</v>
      </c>
      <c r="Z27" s="1" t="s">
        <v>371</v>
      </c>
    </row>
    <row r="28" spans="2:27" x14ac:dyDescent="0.2">
      <c r="B28" s="1"/>
      <c r="C28" s="142" t="s">
        <v>374</v>
      </c>
      <c r="D28" s="144" t="str">
        <f>IF(E28&lt;100,"Too Low",IF(E28&gt;330,"Too High","Acceptable"))</f>
        <v>Acceptable</v>
      </c>
      <c r="E28" s="175">
        <f>R4*(D9/D10)/VLOOKUP(I28,$R$13:$T$27,3,FALSE)</f>
        <v>319.60673834184314</v>
      </c>
      <c r="F28" s="169" t="s">
        <v>375</v>
      </c>
      <c r="H28" s="97" t="s">
        <v>93</v>
      </c>
      <c r="I28" s="90">
        <f>IF(E27=0,"N/A",'R-410A_Data'!P9)</f>
        <v>0.75</v>
      </c>
      <c r="J28" s="166" t="s">
        <v>94</v>
      </c>
      <c r="V28" s="1" t="s">
        <v>268</v>
      </c>
      <c r="X28" s="1" t="s">
        <v>318</v>
      </c>
      <c r="Y28" s="1" t="s">
        <v>345</v>
      </c>
      <c r="Z28" s="1" t="s">
        <v>371</v>
      </c>
    </row>
    <row r="29" spans="2:27" ht="13.7" customHeight="1" thickBot="1" x14ac:dyDescent="0.25">
      <c r="B29" s="42"/>
      <c r="C29" s="182" t="s">
        <v>433</v>
      </c>
      <c r="D29" s="183"/>
      <c r="E29" s="183"/>
      <c r="F29" s="183"/>
      <c r="G29" s="183"/>
      <c r="H29" s="183"/>
      <c r="I29" s="183"/>
      <c r="J29" s="184"/>
      <c r="V29" s="1" t="s">
        <v>464</v>
      </c>
      <c r="X29" s="1" t="s">
        <v>319</v>
      </c>
      <c r="Y29" s="1" t="s">
        <v>345</v>
      </c>
      <c r="Z29" s="1" t="s">
        <v>371</v>
      </c>
    </row>
    <row r="30" spans="2:27" ht="12" thickBot="1" x14ac:dyDescent="0.25">
      <c r="B30" s="42"/>
      <c r="C30" s="64"/>
      <c r="D30" s="64"/>
      <c r="E30" s="65"/>
      <c r="F30" s="66"/>
      <c r="H30" s="42"/>
      <c r="V30" s="1" t="s">
        <v>269</v>
      </c>
      <c r="X30" s="1" t="s">
        <v>320</v>
      </c>
      <c r="Y30" s="1" t="s">
        <v>346</v>
      </c>
      <c r="Z30" s="1" t="s">
        <v>371</v>
      </c>
    </row>
    <row r="31" spans="2:27" x14ac:dyDescent="0.2">
      <c r="C31" s="198" t="s">
        <v>23</v>
      </c>
      <c r="D31" s="199"/>
      <c r="E31" s="199"/>
      <c r="F31" s="199"/>
      <c r="G31" s="199"/>
      <c r="H31" s="199"/>
      <c r="I31" s="199"/>
      <c r="J31" s="200"/>
      <c r="V31" s="1" t="s">
        <v>270</v>
      </c>
      <c r="X31" s="1" t="s">
        <v>321</v>
      </c>
      <c r="Y31" s="1" t="s">
        <v>347</v>
      </c>
      <c r="Z31" s="1" t="s">
        <v>372</v>
      </c>
    </row>
    <row r="32" spans="2:27" x14ac:dyDescent="0.2">
      <c r="C32" s="70"/>
      <c r="J32" s="71"/>
      <c r="V32" s="1" t="s">
        <v>271</v>
      </c>
      <c r="X32" s="1" t="s">
        <v>322</v>
      </c>
      <c r="Y32" s="1" t="s">
        <v>347</v>
      </c>
      <c r="Z32" s="1" t="s">
        <v>372</v>
      </c>
    </row>
    <row r="33" spans="3:26" x14ac:dyDescent="0.2">
      <c r="C33" s="187" t="s">
        <v>87</v>
      </c>
      <c r="D33" s="180"/>
      <c r="E33" s="180"/>
      <c r="F33" s="180"/>
      <c r="H33" s="180" t="s">
        <v>126</v>
      </c>
      <c r="I33" s="180"/>
      <c r="J33" s="181"/>
      <c r="V33" s="1" t="s">
        <v>455</v>
      </c>
      <c r="X33" s="1" t="s">
        <v>323</v>
      </c>
      <c r="Y33" s="1" t="s">
        <v>347</v>
      </c>
      <c r="Z33" s="1" t="s">
        <v>372</v>
      </c>
    </row>
    <row r="34" spans="3:26" x14ac:dyDescent="0.2">
      <c r="C34" s="98" t="s">
        <v>143</v>
      </c>
      <c r="D34" s="95" t="s">
        <v>144</v>
      </c>
      <c r="E34" s="196" t="s">
        <v>145</v>
      </c>
      <c r="F34" s="197"/>
      <c r="H34" s="67" t="s">
        <v>19</v>
      </c>
      <c r="I34" s="68">
        <f>'R-410A_Data'!C25</f>
        <v>100</v>
      </c>
      <c r="J34" s="166" t="s">
        <v>85</v>
      </c>
      <c r="V34" s="1" t="s">
        <v>272</v>
      </c>
      <c r="X34" s="1" t="s">
        <v>324</v>
      </c>
      <c r="Y34" s="1" t="s">
        <v>348</v>
      </c>
      <c r="Z34" s="1" t="s">
        <v>372</v>
      </c>
    </row>
    <row r="35" spans="3:26" x14ac:dyDescent="0.2">
      <c r="C35" s="128" t="s">
        <v>70</v>
      </c>
      <c r="D35" s="121">
        <v>8</v>
      </c>
      <c r="E35" s="50">
        <f>'R-410A_Equivalent_Length'!O30</f>
        <v>26.4</v>
      </c>
      <c r="F35" s="9" t="s">
        <v>85</v>
      </c>
      <c r="H35" s="67" t="s">
        <v>25</v>
      </c>
      <c r="I35" s="50">
        <f>'R-410A_Data'!C26</f>
        <v>2</v>
      </c>
      <c r="J35" s="167" t="s">
        <v>12</v>
      </c>
      <c r="V35" s="1" t="s">
        <v>273</v>
      </c>
      <c r="X35" s="1" t="s">
        <v>325</v>
      </c>
      <c r="Y35" s="1" t="s">
        <v>350</v>
      </c>
      <c r="Z35" s="1" t="s">
        <v>372</v>
      </c>
    </row>
    <row r="36" spans="3:26" x14ac:dyDescent="0.2">
      <c r="C36" s="128" t="s">
        <v>72</v>
      </c>
      <c r="D36" s="121">
        <v>0</v>
      </c>
      <c r="E36" s="50">
        <f>'R-410A_Equivalent_Length'!O36</f>
        <v>0</v>
      </c>
      <c r="F36" s="9" t="s">
        <v>85</v>
      </c>
      <c r="H36" s="67" t="s">
        <v>26</v>
      </c>
      <c r="I36" s="69">
        <f>'R-410A_Data'!AK7</f>
        <v>4.5063000000000004</v>
      </c>
      <c r="J36" s="166" t="s">
        <v>100</v>
      </c>
      <c r="V36" s="1" t="s">
        <v>274</v>
      </c>
      <c r="X36" s="1" t="s">
        <v>326</v>
      </c>
      <c r="Y36" s="1" t="s">
        <v>349</v>
      </c>
      <c r="Z36" s="1" t="s">
        <v>372</v>
      </c>
    </row>
    <row r="37" spans="3:26" x14ac:dyDescent="0.2">
      <c r="C37" s="128" t="s">
        <v>61</v>
      </c>
      <c r="D37" s="121">
        <v>0</v>
      </c>
      <c r="E37" s="50">
        <f>'R-410A_Equivalent_Length'!O42</f>
        <v>0</v>
      </c>
      <c r="F37" s="9" t="s">
        <v>85</v>
      </c>
      <c r="H37" s="67" t="s">
        <v>20</v>
      </c>
      <c r="I37" s="50">
        <f>'R-410A_Data'!AP8</f>
        <v>13.74</v>
      </c>
      <c r="J37" s="166" t="s">
        <v>101</v>
      </c>
      <c r="V37" s="1" t="s">
        <v>275</v>
      </c>
      <c r="X37" s="1" t="s">
        <v>327</v>
      </c>
      <c r="Y37" s="1" t="s">
        <v>349</v>
      </c>
      <c r="Z37" s="1" t="s">
        <v>372</v>
      </c>
    </row>
    <row r="38" spans="3:26" x14ac:dyDescent="0.2">
      <c r="C38" s="151" t="s">
        <v>480</v>
      </c>
      <c r="D38" s="3"/>
      <c r="E38" s="65"/>
      <c r="F38" s="66"/>
      <c r="H38" s="180" t="s">
        <v>123</v>
      </c>
      <c r="I38" s="180"/>
      <c r="J38" s="181"/>
      <c r="V38" s="1" t="s">
        <v>276</v>
      </c>
      <c r="X38" s="1" t="s">
        <v>328</v>
      </c>
      <c r="Y38" s="1" t="s">
        <v>351</v>
      </c>
      <c r="Z38" s="1" t="s">
        <v>372</v>
      </c>
    </row>
    <row r="39" spans="3:26" x14ac:dyDescent="0.2">
      <c r="C39" s="176" t="s">
        <v>128</v>
      </c>
      <c r="D39" s="177"/>
      <c r="E39" s="131">
        <f>E27-E45</f>
        <v>55</v>
      </c>
      <c r="F39" s="9" t="s">
        <v>85</v>
      </c>
      <c r="H39" s="67" t="s">
        <v>21</v>
      </c>
      <c r="I39" s="50">
        <f>SUM(E39,E35:E37)+12</f>
        <v>93.4</v>
      </c>
      <c r="J39" s="166" t="s">
        <v>85</v>
      </c>
      <c r="V39" s="1" t="s">
        <v>277</v>
      </c>
      <c r="X39" s="1" t="s">
        <v>329</v>
      </c>
      <c r="Y39" s="1" t="s">
        <v>352</v>
      </c>
      <c r="Z39" s="1" t="s">
        <v>372</v>
      </c>
    </row>
    <row r="40" spans="3:26" x14ac:dyDescent="0.2">
      <c r="C40" s="150" t="s">
        <v>378</v>
      </c>
      <c r="D40" s="145" t="str">
        <f>IF(E40&lt;500,"Too Low","Acceptable")</f>
        <v>Acceptable</v>
      </c>
      <c r="E40" s="175">
        <f>R6/VLOOKUP(E52,$R$13:$T$27,3,FALSE)</f>
        <v>1366.4704910318083</v>
      </c>
      <c r="F40" s="146" t="s">
        <v>376</v>
      </c>
      <c r="H40" s="67" t="s">
        <v>27</v>
      </c>
      <c r="I40" s="69">
        <f>I35*(I39/I34)*(D9/I37)^1.8</f>
        <v>2.9768486670986727</v>
      </c>
      <c r="J40" s="167" t="s">
        <v>12</v>
      </c>
      <c r="V40" s="1" t="s">
        <v>278</v>
      </c>
      <c r="X40" s="1" t="s">
        <v>330</v>
      </c>
      <c r="Y40" s="1" t="s">
        <v>352</v>
      </c>
      <c r="Z40" s="1" t="s">
        <v>372</v>
      </c>
    </row>
    <row r="41" spans="3:26" s="1" customFormat="1" x14ac:dyDescent="0.2">
      <c r="C41" s="91"/>
      <c r="D41" s="3"/>
      <c r="E41" s="65"/>
      <c r="F41" s="66"/>
      <c r="H41" s="67" t="s">
        <v>28</v>
      </c>
      <c r="I41" s="69">
        <f>I36*(I40/I35)</f>
        <v>6.7072865742733754</v>
      </c>
      <c r="J41" s="166" t="s">
        <v>100</v>
      </c>
      <c r="V41" s="1" t="s">
        <v>279</v>
      </c>
      <c r="X41" s="1" t="s">
        <v>331</v>
      </c>
      <c r="Y41" s="1" t="s">
        <v>352</v>
      </c>
      <c r="Z41" s="1" t="s">
        <v>372</v>
      </c>
    </row>
    <row r="42" spans="3:26" s="1" customFormat="1" x14ac:dyDescent="0.2">
      <c r="C42" s="187" t="s">
        <v>133</v>
      </c>
      <c r="D42" s="180"/>
      <c r="E42" s="180"/>
      <c r="F42" s="180"/>
      <c r="H42" s="67" t="s">
        <v>22</v>
      </c>
      <c r="I42" s="50">
        <f>I37*((I34/I39)*(I40/I35))^0.55</f>
        <v>17.75397768229282</v>
      </c>
      <c r="J42" s="166" t="s">
        <v>101</v>
      </c>
      <c r="O42" s="3"/>
      <c r="V42" s="1" t="s">
        <v>380</v>
      </c>
      <c r="X42" s="1" t="s">
        <v>332</v>
      </c>
      <c r="Y42" s="1" t="s">
        <v>353</v>
      </c>
      <c r="Z42" s="1" t="s">
        <v>372</v>
      </c>
    </row>
    <row r="43" spans="3:26" s="1" customFormat="1" x14ac:dyDescent="0.2">
      <c r="C43" s="176" t="s">
        <v>130</v>
      </c>
      <c r="D43" s="177"/>
      <c r="E43" s="50">
        <f>IF(E45=0,"N/A",D10)</f>
        <v>8.9</v>
      </c>
      <c r="F43" s="170" t="s">
        <v>101</v>
      </c>
      <c r="H43" s="67" t="s">
        <v>109</v>
      </c>
      <c r="I43" s="89">
        <f>IF(E39=0,"N/A",'R-410A_Data'!AQ8)</f>
        <v>1.375</v>
      </c>
      <c r="J43" s="166" t="s">
        <v>94</v>
      </c>
      <c r="L43" s="4"/>
      <c r="O43" s="42"/>
      <c r="V43" s="1" t="s">
        <v>424</v>
      </c>
      <c r="X43" s="1" t="s">
        <v>333</v>
      </c>
      <c r="Y43" s="1" t="s">
        <v>353</v>
      </c>
      <c r="Z43" s="1" t="s">
        <v>372</v>
      </c>
    </row>
    <row r="44" spans="3:26" s="1" customFormat="1" x14ac:dyDescent="0.2">
      <c r="C44" s="176" t="s">
        <v>129</v>
      </c>
      <c r="D44" s="177"/>
      <c r="E44" s="89">
        <f>IF(E45=0,"N/A",'R-410A_Min_Suction_Riser_Cap'!W21)</f>
        <v>1.375</v>
      </c>
      <c r="F44" s="170" t="s">
        <v>94</v>
      </c>
      <c r="J44" s="71"/>
      <c r="L44" s="4"/>
      <c r="O44" s="42"/>
      <c r="V44" s="1" t="s">
        <v>460</v>
      </c>
      <c r="X44" s="1" t="s">
        <v>334</v>
      </c>
      <c r="Y44" s="1" t="s">
        <v>354</v>
      </c>
      <c r="Z44" s="1" t="s">
        <v>372</v>
      </c>
    </row>
    <row r="45" spans="3:26" s="1" customFormat="1" x14ac:dyDescent="0.2">
      <c r="C45" s="241" t="s">
        <v>467</v>
      </c>
      <c r="D45" s="177"/>
      <c r="E45" s="131">
        <v>5</v>
      </c>
      <c r="F45" s="170" t="s">
        <v>85</v>
      </c>
      <c r="H45" s="180" t="s">
        <v>127</v>
      </c>
      <c r="I45" s="180"/>
      <c r="J45" s="181"/>
      <c r="L45" s="4"/>
      <c r="O45" s="8"/>
      <c r="V45" s="1" t="s">
        <v>280</v>
      </c>
      <c r="X45" s="1" t="s">
        <v>335</v>
      </c>
      <c r="Y45" s="1" t="s">
        <v>355</v>
      </c>
      <c r="Z45" s="1" t="s">
        <v>372</v>
      </c>
    </row>
    <row r="46" spans="3:26" s="1" customFormat="1" x14ac:dyDescent="0.2">
      <c r="C46" s="150" t="s">
        <v>379</v>
      </c>
      <c r="D46" s="149" t="str">
        <f>IF(E46&lt;1000,"Too Low","Acceptable")</f>
        <v>Acceptable</v>
      </c>
      <c r="E46" s="175">
        <f>R6/VLOOKUP(E53,$R$13:$T$27,3,FALSE)</f>
        <v>1366.4704910318083</v>
      </c>
      <c r="F46" s="173" t="s">
        <v>376</v>
      </c>
      <c r="H46" s="67" t="s">
        <v>19</v>
      </c>
      <c r="I46" s="68">
        <f>'R-410A_Data'!C25</f>
        <v>100</v>
      </c>
      <c r="J46" s="166" t="s">
        <v>85</v>
      </c>
      <c r="L46" s="4"/>
      <c r="O46" s="8"/>
      <c r="V46" s="1" t="s">
        <v>249</v>
      </c>
      <c r="X46" s="1" t="s">
        <v>336</v>
      </c>
      <c r="Y46" s="1" t="s">
        <v>356</v>
      </c>
      <c r="Z46" s="1" t="s">
        <v>372</v>
      </c>
    </row>
    <row r="47" spans="3:26" x14ac:dyDescent="0.2">
      <c r="C47" s="151"/>
      <c r="H47" s="67" t="s">
        <v>25</v>
      </c>
      <c r="I47" s="50">
        <f>'R-410A_Data'!C26</f>
        <v>2</v>
      </c>
      <c r="J47" s="167" t="s">
        <v>12</v>
      </c>
      <c r="V47" s="1" t="s">
        <v>281</v>
      </c>
      <c r="X47" s="1" t="s">
        <v>337</v>
      </c>
      <c r="Y47" s="1" t="s">
        <v>357</v>
      </c>
      <c r="Z47" s="1" t="s">
        <v>372</v>
      </c>
    </row>
    <row r="48" spans="3:26" ht="12.75" customHeight="1" x14ac:dyDescent="0.2">
      <c r="C48" s="70"/>
      <c r="H48" s="67" t="s">
        <v>26</v>
      </c>
      <c r="I48" s="69">
        <f>'R-410A_Data'!AK7</f>
        <v>4.5063000000000004</v>
      </c>
      <c r="J48" s="166" t="s">
        <v>100</v>
      </c>
      <c r="V48" s="1" t="s">
        <v>282</v>
      </c>
      <c r="X48" s="1" t="s">
        <v>338</v>
      </c>
      <c r="Y48" s="1" t="s">
        <v>358</v>
      </c>
      <c r="Z48" s="1" t="s">
        <v>372</v>
      </c>
    </row>
    <row r="49" spans="1:26" ht="12.75" customHeight="1" x14ac:dyDescent="0.2">
      <c r="C49" s="187" t="s">
        <v>125</v>
      </c>
      <c r="D49" s="180"/>
      <c r="E49" s="180"/>
      <c r="F49" s="180"/>
      <c r="H49" s="67" t="s">
        <v>20</v>
      </c>
      <c r="I49" s="50">
        <f>'R-410A_Min_Suction_Riser_Cap'!AC19</f>
        <v>13.736828000000001</v>
      </c>
      <c r="J49" s="166" t="s">
        <v>101</v>
      </c>
      <c r="V49" s="1" t="s">
        <v>283</v>
      </c>
      <c r="X49" s="1" t="s">
        <v>339</v>
      </c>
      <c r="Y49" s="1" t="s">
        <v>359</v>
      </c>
      <c r="Z49" s="1" t="s">
        <v>372</v>
      </c>
    </row>
    <row r="50" spans="1:26" ht="12.75" customHeight="1" x14ac:dyDescent="0.2">
      <c r="C50" s="176" t="s">
        <v>27</v>
      </c>
      <c r="D50" s="177"/>
      <c r="E50" s="69">
        <f>I52+I40</f>
        <v>3.1362751169989229</v>
      </c>
      <c r="F50" s="172" t="s">
        <v>12</v>
      </c>
      <c r="H50" s="180" t="s">
        <v>124</v>
      </c>
      <c r="I50" s="180"/>
      <c r="J50" s="181"/>
      <c r="V50" s="1" t="s">
        <v>284</v>
      </c>
    </row>
    <row r="51" spans="1:26" ht="12.75" customHeight="1" x14ac:dyDescent="0.2">
      <c r="C51" s="176" t="s">
        <v>28</v>
      </c>
      <c r="D51" s="177"/>
      <c r="E51" s="69">
        <f>I53+I41</f>
        <v>7.0664982798661233</v>
      </c>
      <c r="F51" s="170" t="s">
        <v>100</v>
      </c>
      <c r="H51" s="67" t="s">
        <v>21</v>
      </c>
      <c r="I51" s="50">
        <f>E45</f>
        <v>5</v>
      </c>
      <c r="J51" s="166" t="s">
        <v>85</v>
      </c>
      <c r="V51" s="1" t="s">
        <v>285</v>
      </c>
    </row>
    <row r="52" spans="1:26" ht="12.75" customHeight="1" x14ac:dyDescent="0.2">
      <c r="C52" s="178" t="s">
        <v>131</v>
      </c>
      <c r="D52" s="179"/>
      <c r="E52" s="90">
        <f>I43</f>
        <v>1.375</v>
      </c>
      <c r="F52" s="170" t="s">
        <v>94</v>
      </c>
      <c r="H52" s="67" t="s">
        <v>27</v>
      </c>
      <c r="I52" s="69">
        <f>I47*(I51/I46)*(D9/I49)^1.8</f>
        <v>0.15942644990025001</v>
      </c>
      <c r="J52" s="167" t="s">
        <v>12</v>
      </c>
      <c r="V52" s="1" t="s">
        <v>286</v>
      </c>
    </row>
    <row r="53" spans="1:26" x14ac:dyDescent="0.2">
      <c r="C53" s="178" t="s">
        <v>132</v>
      </c>
      <c r="D53" s="179"/>
      <c r="E53" s="90">
        <f>E44</f>
        <v>1.375</v>
      </c>
      <c r="F53" s="170" t="s">
        <v>94</v>
      </c>
      <c r="H53" s="67" t="s">
        <v>28</v>
      </c>
      <c r="I53" s="69">
        <f>I48*(I52/I47)</f>
        <v>0.35921170559274834</v>
      </c>
      <c r="J53" s="166" t="s">
        <v>100</v>
      </c>
      <c r="V53" s="1" t="s">
        <v>287</v>
      </c>
    </row>
    <row r="54" spans="1:26" x14ac:dyDescent="0.2">
      <c r="C54" s="176" t="s">
        <v>186</v>
      </c>
      <c r="D54" s="177"/>
      <c r="E54" s="50">
        <f>IF(E45=0,"N/A",'R-410A_Min_Suction_Riser_Cap'!W24)</f>
        <v>3.1274399999999996</v>
      </c>
      <c r="F54" s="170" t="s">
        <v>101</v>
      </c>
      <c r="H54" s="67" t="s">
        <v>22</v>
      </c>
      <c r="I54" s="50">
        <f>IF(E45=0,"N/A",I49*((I46/I51)*(I52/I47))^0.55)</f>
        <v>17.753936690987388</v>
      </c>
      <c r="J54" s="166" t="s">
        <v>101</v>
      </c>
      <c r="V54" s="1" t="s">
        <v>425</v>
      </c>
    </row>
    <row r="55" spans="1:26" ht="12" thickBot="1" x14ac:dyDescent="0.25">
      <c r="C55" s="182" t="s">
        <v>433</v>
      </c>
      <c r="D55" s="183"/>
      <c r="E55" s="183"/>
      <c r="F55" s="183"/>
      <c r="G55" s="183"/>
      <c r="H55" s="183"/>
      <c r="I55" s="183"/>
      <c r="J55" s="184"/>
      <c r="V55" s="1" t="s">
        <v>288</v>
      </c>
    </row>
    <row r="56" spans="1:26" ht="11.25" hidden="1" customHeight="1" thickBot="1" x14ac:dyDescent="0.25">
      <c r="V56" s="1" t="s">
        <v>289</v>
      </c>
    </row>
    <row r="57" spans="1:26" ht="12.75" hidden="1" customHeight="1" x14ac:dyDescent="0.2">
      <c r="C57" s="198" t="s">
        <v>194</v>
      </c>
      <c r="D57" s="199"/>
      <c r="E57" s="199"/>
      <c r="F57" s="199"/>
      <c r="G57" s="199"/>
      <c r="H57" s="199"/>
      <c r="I57" s="199"/>
      <c r="J57" s="200"/>
      <c r="V57" s="1" t="s">
        <v>290</v>
      </c>
    </row>
    <row r="58" spans="1:26" ht="12.75" hidden="1" customHeight="1" x14ac:dyDescent="0.2">
      <c r="A58" s="126"/>
      <c r="B58" s="126"/>
      <c r="C58" s="118"/>
      <c r="D58" s="42"/>
      <c r="E58" s="42"/>
      <c r="F58" s="42"/>
      <c r="G58" s="42"/>
      <c r="H58" s="42"/>
      <c r="I58" s="42"/>
      <c r="J58" s="119"/>
      <c r="K58" s="127"/>
      <c r="V58" s="1" t="s">
        <v>291</v>
      </c>
    </row>
    <row r="59" spans="1:26" ht="12.75" hidden="1" customHeight="1" x14ac:dyDescent="0.2">
      <c r="A59" s="126"/>
      <c r="B59" s="126"/>
      <c r="C59" s="187" t="s">
        <v>200</v>
      </c>
      <c r="D59" s="180"/>
      <c r="E59" s="180"/>
      <c r="F59" s="180"/>
      <c r="G59" s="42"/>
      <c r="H59" s="180" t="s">
        <v>41</v>
      </c>
      <c r="I59" s="180"/>
      <c r="J59" s="181"/>
      <c r="K59" s="127"/>
      <c r="V59" s="1" t="s">
        <v>250</v>
      </c>
    </row>
    <row r="60" spans="1:26" ht="12.75" hidden="1" customHeight="1" x14ac:dyDescent="0.2">
      <c r="A60" s="126"/>
      <c r="B60" s="126"/>
      <c r="C60" s="176" t="s">
        <v>195</v>
      </c>
      <c r="D60" s="177"/>
      <c r="E60" s="133">
        <f>D10</f>
        <v>8.9</v>
      </c>
      <c r="F60" s="9" t="s">
        <v>196</v>
      </c>
      <c r="H60" s="67" t="s">
        <v>19</v>
      </c>
      <c r="I60" s="68">
        <f>'R-410A_Data'!C25</f>
        <v>100</v>
      </c>
      <c r="J60" s="166" t="s">
        <v>85</v>
      </c>
      <c r="K60" s="127"/>
      <c r="L60" s="1"/>
      <c r="V60" s="1" t="s">
        <v>292</v>
      </c>
    </row>
    <row r="61" spans="1:26" ht="12.75" hidden="1" customHeight="1" x14ac:dyDescent="0.2">
      <c r="A61" s="126"/>
      <c r="B61" s="126"/>
      <c r="C61" s="185" t="s">
        <v>216</v>
      </c>
      <c r="D61" s="186"/>
      <c r="E61" s="133">
        <f>IF(E60/2&lt;8,E60/2,E60-8)</f>
        <v>4.45</v>
      </c>
      <c r="F61" s="9" t="s">
        <v>196</v>
      </c>
      <c r="H61" s="67" t="s">
        <v>25</v>
      </c>
      <c r="I61" s="50">
        <f>'R-410A_Data'!C28</f>
        <v>1</v>
      </c>
      <c r="J61" s="167" t="s">
        <v>12</v>
      </c>
      <c r="K61" s="127"/>
      <c r="V61" s="1" t="s">
        <v>293</v>
      </c>
    </row>
    <row r="62" spans="1:26" ht="12.75" hidden="1" customHeight="1" x14ac:dyDescent="0.2">
      <c r="A62" s="126"/>
      <c r="B62" s="126"/>
      <c r="C62" s="176" t="s">
        <v>213</v>
      </c>
      <c r="D62" s="177"/>
      <c r="E62" s="50">
        <f>E60-E61</f>
        <v>4.45</v>
      </c>
      <c r="F62" s="9" t="s">
        <v>196</v>
      </c>
      <c r="H62" s="67" t="s">
        <v>26</v>
      </c>
      <c r="I62" s="69">
        <f>'R-410A_Data'!C29</f>
        <v>4.75</v>
      </c>
      <c r="J62" s="166" t="s">
        <v>100</v>
      </c>
      <c r="K62" s="127"/>
      <c r="V62" s="1" t="s">
        <v>294</v>
      </c>
    </row>
    <row r="63" spans="1:26" ht="12.75" hidden="1" customHeight="1" x14ac:dyDescent="0.2">
      <c r="A63" s="126"/>
      <c r="B63" s="126"/>
      <c r="C63" s="147" t="s">
        <v>377</v>
      </c>
      <c r="D63" s="148"/>
      <c r="E63" s="143">
        <f>R9*(E62/D10)/VLOOKUP(I69,$R$13:$T$27,3,FALSE)</f>
        <v>1039.7985912038052</v>
      </c>
      <c r="F63" s="146" t="s">
        <v>376</v>
      </c>
      <c r="H63" s="67" t="s">
        <v>20</v>
      </c>
      <c r="I63" s="69">
        <f>'R-410A_Data'!AK31</f>
        <v>2.7279440000000004</v>
      </c>
      <c r="J63" s="166" t="s">
        <v>101</v>
      </c>
      <c r="K63" s="127"/>
      <c r="V63" s="1" t="s">
        <v>381</v>
      </c>
    </row>
    <row r="64" spans="1:26" ht="12.75" hidden="1" customHeight="1" x14ac:dyDescent="0.2">
      <c r="A64" s="126"/>
      <c r="B64" s="126"/>
      <c r="C64" s="70"/>
      <c r="H64" s="180" t="s">
        <v>96</v>
      </c>
      <c r="I64" s="180"/>
      <c r="J64" s="181"/>
      <c r="K64" s="127"/>
      <c r="V64" s="1" t="s">
        <v>295</v>
      </c>
    </row>
    <row r="65" spans="1:22" ht="12.75" hidden="1" customHeight="1" x14ac:dyDescent="0.2">
      <c r="A65" s="126"/>
      <c r="B65" s="126"/>
      <c r="C65" s="187" t="s">
        <v>87</v>
      </c>
      <c r="D65" s="180"/>
      <c r="E65" s="180"/>
      <c r="F65" s="180"/>
      <c r="H65" s="67" t="s">
        <v>21</v>
      </c>
      <c r="I65" s="50">
        <f>SUM(E71,E67:E69)+12</f>
        <v>100.2</v>
      </c>
      <c r="J65" s="166" t="s">
        <v>85</v>
      </c>
      <c r="K65" s="127"/>
      <c r="V65" s="1" t="s">
        <v>456</v>
      </c>
    </row>
    <row r="66" spans="1:22" ht="12.75" hidden="1" customHeight="1" x14ac:dyDescent="0.2">
      <c r="A66" s="126"/>
      <c r="B66" s="126"/>
      <c r="C66" s="98" t="s">
        <v>143</v>
      </c>
      <c r="D66" s="95" t="s">
        <v>144</v>
      </c>
      <c r="E66" s="95" t="s">
        <v>145</v>
      </c>
      <c r="F66" s="95"/>
      <c r="H66" s="67" t="s">
        <v>27</v>
      </c>
      <c r="I66" s="69">
        <f>I61*(I65/I60)*(E62/I63)^1.8</f>
        <v>2.4177529949367274</v>
      </c>
      <c r="J66" s="167" t="s">
        <v>12</v>
      </c>
      <c r="K66" s="127"/>
      <c r="V66" s="1" t="s">
        <v>296</v>
      </c>
    </row>
    <row r="67" spans="1:22" ht="12.75" hidden="1" customHeight="1" x14ac:dyDescent="0.2">
      <c r="A67" s="126"/>
      <c r="B67" s="126"/>
      <c r="C67" s="128" t="s">
        <v>70</v>
      </c>
      <c r="D67" s="121">
        <f>D20</f>
        <v>8</v>
      </c>
      <c r="E67" s="50">
        <f>'R-410A_Equivalent_Length'!AA30</f>
        <v>11.2</v>
      </c>
      <c r="F67" s="9" t="s">
        <v>85</v>
      </c>
      <c r="H67" s="67" t="s">
        <v>28</v>
      </c>
      <c r="I67" s="69">
        <f>I62*(I66/I61)</f>
        <v>11.484326725949455</v>
      </c>
      <c r="J67" s="166" t="s">
        <v>100</v>
      </c>
      <c r="K67" s="127"/>
      <c r="V67" s="1" t="s">
        <v>476</v>
      </c>
    </row>
    <row r="68" spans="1:22" ht="12.75" hidden="1" customHeight="1" x14ac:dyDescent="0.2">
      <c r="A68" s="126"/>
      <c r="B68" s="126"/>
      <c r="C68" s="128" t="s">
        <v>72</v>
      </c>
      <c r="D68" s="121">
        <f>D21</f>
        <v>0</v>
      </c>
      <c r="E68" s="50">
        <f>'R-410A_Equivalent_Length'!AA36</f>
        <v>0</v>
      </c>
      <c r="F68" s="9" t="s">
        <v>85</v>
      </c>
      <c r="H68" s="67" t="s">
        <v>22</v>
      </c>
      <c r="I68" s="50">
        <f>I63*((I60/I65)*(I66/I61))^0.55</f>
        <v>4.4282768582365328</v>
      </c>
      <c r="J68" s="166" t="s">
        <v>101</v>
      </c>
      <c r="K68" s="127"/>
      <c r="V68" s="1" t="s">
        <v>297</v>
      </c>
    </row>
    <row r="69" spans="1:22" ht="12.75" hidden="1" customHeight="1" x14ac:dyDescent="0.2">
      <c r="A69" s="126"/>
      <c r="B69" s="126"/>
      <c r="C69" s="128" t="s">
        <v>65</v>
      </c>
      <c r="D69" s="121">
        <v>1</v>
      </c>
      <c r="E69" s="50">
        <f>'R-410A_Equivalent_Length'!AA42</f>
        <v>17</v>
      </c>
      <c r="F69" s="9" t="s">
        <v>85</v>
      </c>
      <c r="H69" s="97" t="s">
        <v>201</v>
      </c>
      <c r="I69" s="90">
        <f>IF(E71=0,"N/A",'R-410A_Data'!AL31)</f>
        <v>0.625</v>
      </c>
      <c r="J69" s="166" t="s">
        <v>94</v>
      </c>
      <c r="K69" s="127"/>
      <c r="V69" s="1" t="s">
        <v>461</v>
      </c>
    </row>
    <row r="70" spans="1:22" ht="12.75" hidden="1" customHeight="1" x14ac:dyDescent="0.2">
      <c r="A70" s="126"/>
      <c r="B70" s="126"/>
      <c r="C70" s="70"/>
      <c r="J70" s="71"/>
      <c r="K70" s="127"/>
      <c r="V70" s="1" t="s">
        <v>298</v>
      </c>
    </row>
    <row r="71" spans="1:22" ht="12.75" hidden="1" customHeight="1" x14ac:dyDescent="0.2">
      <c r="A71" s="126"/>
      <c r="B71" s="126"/>
      <c r="C71" s="176" t="s">
        <v>197</v>
      </c>
      <c r="D71" s="177"/>
      <c r="E71" s="131">
        <f>E27</f>
        <v>60</v>
      </c>
      <c r="F71" s="9" t="s">
        <v>85</v>
      </c>
      <c r="J71" s="71"/>
      <c r="K71" s="127"/>
      <c r="V71" s="1" t="s">
        <v>435</v>
      </c>
    </row>
    <row r="72" spans="1:22" ht="12.75" hidden="1" customHeight="1" thickBot="1" x14ac:dyDescent="0.25">
      <c r="A72" s="126"/>
      <c r="B72" s="126"/>
      <c r="C72" s="182" t="s">
        <v>433</v>
      </c>
      <c r="D72" s="183"/>
      <c r="E72" s="183"/>
      <c r="F72" s="183"/>
      <c r="G72" s="183"/>
      <c r="H72" s="183"/>
      <c r="I72" s="183"/>
      <c r="J72" s="184"/>
      <c r="K72" s="127"/>
      <c r="T72" s="1" t="s">
        <v>459</v>
      </c>
      <c r="V72" s="1" t="s">
        <v>299</v>
      </c>
    </row>
    <row r="73" spans="1:22" ht="11.25" hidden="1" customHeight="1" x14ac:dyDescent="0.2">
      <c r="C73" s="198" t="s">
        <v>134</v>
      </c>
      <c r="D73" s="199"/>
      <c r="E73" s="199"/>
      <c r="F73" s="199"/>
      <c r="G73" s="199"/>
      <c r="H73" s="199"/>
      <c r="I73" s="199"/>
      <c r="J73" s="200"/>
    </row>
    <row r="74" spans="1:22" ht="11.25" hidden="1" customHeight="1" x14ac:dyDescent="0.2">
      <c r="C74" s="70"/>
      <c r="J74" s="71"/>
    </row>
    <row r="75" spans="1:22" ht="11.25" hidden="1" customHeight="1" x14ac:dyDescent="0.2">
      <c r="C75" s="187" t="s">
        <v>87</v>
      </c>
      <c r="D75" s="180"/>
      <c r="E75" s="180"/>
      <c r="F75" s="180"/>
      <c r="H75" s="180" t="s">
        <v>126</v>
      </c>
      <c r="I75" s="180"/>
      <c r="J75" s="181"/>
    </row>
    <row r="76" spans="1:22" ht="11.25" hidden="1" customHeight="1" x14ac:dyDescent="0.2">
      <c r="C76" s="98" t="s">
        <v>143</v>
      </c>
      <c r="D76" s="95" t="s">
        <v>144</v>
      </c>
      <c r="E76" s="196" t="s">
        <v>145</v>
      </c>
      <c r="F76" s="197"/>
      <c r="H76" s="67" t="s">
        <v>19</v>
      </c>
      <c r="I76" s="68">
        <f>'R-410A_Data'!C25</f>
        <v>100</v>
      </c>
      <c r="J76" s="72" t="s">
        <v>85</v>
      </c>
    </row>
    <row r="77" spans="1:22" ht="11.25" hidden="1" customHeight="1" x14ac:dyDescent="0.2">
      <c r="C77" s="128" t="s">
        <v>70</v>
      </c>
      <c r="D77" s="121">
        <f>D20</f>
        <v>8</v>
      </c>
      <c r="E77" s="50">
        <f>'R-410A_Equivalent_Length'!U30</f>
        <v>26.4</v>
      </c>
      <c r="F77" s="9" t="s">
        <v>85</v>
      </c>
      <c r="H77" s="67" t="s">
        <v>25</v>
      </c>
      <c r="I77" s="50">
        <f>'R-410A_Data'!C28</f>
        <v>1</v>
      </c>
      <c r="J77" s="73" t="s">
        <v>12</v>
      </c>
    </row>
    <row r="78" spans="1:22" ht="11.25" hidden="1" customHeight="1" x14ac:dyDescent="0.2">
      <c r="C78" s="128" t="s">
        <v>72</v>
      </c>
      <c r="D78" s="121">
        <f>D21</f>
        <v>0</v>
      </c>
      <c r="E78" s="50">
        <f>'R-410A_Equivalent_Length'!U36</f>
        <v>0</v>
      </c>
      <c r="F78" s="9" t="s">
        <v>85</v>
      </c>
      <c r="H78" s="67" t="s">
        <v>26</v>
      </c>
      <c r="I78" s="69">
        <f>'R-410A_Data'!C29</f>
        <v>4.75</v>
      </c>
      <c r="J78" s="72" t="s">
        <v>100</v>
      </c>
    </row>
    <row r="79" spans="1:22" ht="11.25" hidden="1" customHeight="1" x14ac:dyDescent="0.2">
      <c r="C79" s="140" t="s">
        <v>61</v>
      </c>
      <c r="D79" s="121">
        <v>0</v>
      </c>
      <c r="E79" s="50">
        <f>'R-410A_Equivalent_Length'!U42</f>
        <v>0</v>
      </c>
      <c r="F79" s="9" t="s">
        <v>85</v>
      </c>
      <c r="H79" s="67" t="s">
        <v>20</v>
      </c>
      <c r="I79" s="50">
        <f>'R-410A_Data'!AF31</f>
        <v>25.077576000000001</v>
      </c>
      <c r="J79" s="72" t="s">
        <v>101</v>
      </c>
    </row>
    <row r="80" spans="1:22" ht="11.25" hidden="1" customHeight="1" x14ac:dyDescent="0.2">
      <c r="C80" s="91"/>
      <c r="D80" s="3"/>
      <c r="E80" s="65"/>
      <c r="F80" s="66"/>
      <c r="H80" s="180" t="s">
        <v>123</v>
      </c>
      <c r="I80" s="180"/>
      <c r="J80" s="181"/>
    </row>
    <row r="81" spans="3:12" ht="11.25" hidden="1" customHeight="1" x14ac:dyDescent="0.2">
      <c r="C81" s="176" t="s">
        <v>135</v>
      </c>
      <c r="D81" s="177"/>
      <c r="E81" s="132">
        <f>E27-E87</f>
        <v>60</v>
      </c>
      <c r="F81" s="9" t="s">
        <v>85</v>
      </c>
      <c r="H81" s="67" t="s">
        <v>21</v>
      </c>
      <c r="I81" s="50">
        <f>SUM(E81,E77:E79)+12</f>
        <v>98.4</v>
      </c>
      <c r="J81" s="72" t="s">
        <v>85</v>
      </c>
      <c r="L81" s="141"/>
    </row>
    <row r="82" spans="3:12" ht="11.25" hidden="1" customHeight="1" x14ac:dyDescent="0.2">
      <c r="C82" s="150" t="s">
        <v>383</v>
      </c>
      <c r="D82" s="145" t="str">
        <f>IF(E82&lt;500,"Too Low","Acceptable")</f>
        <v>Too Low</v>
      </c>
      <c r="E82" s="143">
        <f>R9/VLOOKUP(E93,$R$13:$T$27,3,FALSE)</f>
        <v>386.00343895678469</v>
      </c>
      <c r="F82" s="146" t="s">
        <v>376</v>
      </c>
      <c r="H82" s="67" t="s">
        <v>27</v>
      </c>
      <c r="I82" s="69">
        <f>I77*(I81/I76)*(D9/I79)^1.8</f>
        <v>0.53092980127390854</v>
      </c>
      <c r="J82" s="73" t="s">
        <v>12</v>
      </c>
      <c r="L82" s="74"/>
    </row>
    <row r="83" spans="3:12" ht="11.25" hidden="1" customHeight="1" x14ac:dyDescent="0.2">
      <c r="C83" s="70"/>
      <c r="H83" s="67" t="s">
        <v>28</v>
      </c>
      <c r="I83" s="69">
        <f>I78*(I82/I77)</f>
        <v>2.5219165560510657</v>
      </c>
      <c r="J83" s="72" t="s">
        <v>100</v>
      </c>
    </row>
    <row r="84" spans="3:12" ht="11.25" hidden="1" customHeight="1" x14ac:dyDescent="0.2">
      <c r="C84" s="187" t="s">
        <v>403</v>
      </c>
      <c r="D84" s="180"/>
      <c r="E84" s="180"/>
      <c r="F84" s="180"/>
      <c r="H84" s="67" t="s">
        <v>22</v>
      </c>
      <c r="I84" s="50">
        <f>I79*((I76/I81)*(I82/I77))^0.55</f>
        <v>17.861118747582754</v>
      </c>
      <c r="J84" s="72" t="s">
        <v>101</v>
      </c>
    </row>
    <row r="85" spans="3:12" ht="11.25" hidden="1" customHeight="1" x14ac:dyDescent="0.2">
      <c r="C85" s="176" t="s">
        <v>130</v>
      </c>
      <c r="D85" s="177"/>
      <c r="E85" s="68" t="str">
        <f>IF(E87=0,"N/A",D10)</f>
        <v>N/A</v>
      </c>
      <c r="F85" s="9" t="s">
        <v>101</v>
      </c>
      <c r="H85" s="67" t="s">
        <v>165</v>
      </c>
      <c r="I85" s="89">
        <f>'R-410A_Data'!AG31</f>
        <v>1.375</v>
      </c>
      <c r="J85" s="72" t="s">
        <v>94</v>
      </c>
    </row>
    <row r="86" spans="3:12" ht="11.25" hidden="1" customHeight="1" x14ac:dyDescent="0.2">
      <c r="C86" s="176" t="s">
        <v>140</v>
      </c>
      <c r="D86" s="177"/>
      <c r="E86" s="89" t="str">
        <f>IF(E87=0,"N/A",'R-410A_Min_Hot-Gas_Riser_Cap'!W20)</f>
        <v>N/A</v>
      </c>
      <c r="F86" s="9" t="s">
        <v>94</v>
      </c>
      <c r="J86" s="71"/>
    </row>
    <row r="87" spans="3:12" ht="11.25" hidden="1" customHeight="1" x14ac:dyDescent="0.2">
      <c r="C87" s="176" t="s">
        <v>141</v>
      </c>
      <c r="D87" s="177"/>
      <c r="E87" s="131">
        <v>0</v>
      </c>
      <c r="F87" s="9" t="s">
        <v>85</v>
      </c>
      <c r="H87" s="180" t="s">
        <v>136</v>
      </c>
      <c r="I87" s="180"/>
      <c r="J87" s="181"/>
    </row>
    <row r="88" spans="3:12" ht="11.25" hidden="1" customHeight="1" x14ac:dyDescent="0.2">
      <c r="C88" s="150" t="s">
        <v>384</v>
      </c>
      <c r="D88" s="149" t="e">
        <f>IF(E88&lt;1000,"Too Low","Acceptable")</f>
        <v>#N/A</v>
      </c>
      <c r="E88" s="143" t="e">
        <f>R9/VLOOKUP(E94,$R$13:$T$27,3,FALSE)</f>
        <v>#N/A</v>
      </c>
      <c r="F88" s="146" t="s">
        <v>376</v>
      </c>
      <c r="H88" s="67" t="s">
        <v>19</v>
      </c>
      <c r="I88" s="68">
        <f>'R-410A_Data'!C25</f>
        <v>100</v>
      </c>
      <c r="J88" s="72" t="s">
        <v>85</v>
      </c>
    </row>
    <row r="89" spans="3:12" ht="11.25" hidden="1" customHeight="1" x14ac:dyDescent="0.2">
      <c r="C89" s="70"/>
      <c r="H89" s="67" t="s">
        <v>25</v>
      </c>
      <c r="I89" s="50">
        <f>'R-410A_Data'!C28</f>
        <v>1</v>
      </c>
      <c r="J89" s="73" t="s">
        <v>12</v>
      </c>
    </row>
    <row r="90" spans="3:12" ht="11.25" hidden="1" customHeight="1" x14ac:dyDescent="0.2">
      <c r="C90" s="187" t="s">
        <v>125</v>
      </c>
      <c r="D90" s="180"/>
      <c r="E90" s="180"/>
      <c r="F90" s="180"/>
      <c r="H90" s="67" t="s">
        <v>26</v>
      </c>
      <c r="I90" s="69">
        <f>'R-410A_Data'!C29</f>
        <v>4.75</v>
      </c>
      <c r="J90" s="72" t="s">
        <v>100</v>
      </c>
    </row>
    <row r="91" spans="3:12" ht="11.25" hidden="1" customHeight="1" x14ac:dyDescent="0.2">
      <c r="C91" s="176" t="s">
        <v>27</v>
      </c>
      <c r="D91" s="177"/>
      <c r="E91" s="69">
        <f>I94+I82</f>
        <v>0.53092980127390854</v>
      </c>
      <c r="F91" s="10" t="s">
        <v>12</v>
      </c>
      <c r="H91" s="67" t="s">
        <v>20</v>
      </c>
      <c r="I91" s="69">
        <f>'R-410A_Min_Hot-Gas_Riser_Cap'!AC18</f>
        <v>25.077576000000001</v>
      </c>
      <c r="J91" s="72" t="s">
        <v>101</v>
      </c>
    </row>
    <row r="92" spans="3:12" ht="11.25" hidden="1" customHeight="1" x14ac:dyDescent="0.2">
      <c r="C92" s="176" t="s">
        <v>28</v>
      </c>
      <c r="D92" s="177"/>
      <c r="E92" s="69">
        <f>I95+I83</f>
        <v>2.5219165560510657</v>
      </c>
      <c r="F92" s="9" t="s">
        <v>100</v>
      </c>
      <c r="H92" s="180" t="s">
        <v>137</v>
      </c>
      <c r="I92" s="180"/>
      <c r="J92" s="181"/>
    </row>
    <row r="93" spans="3:12" ht="11.25" hidden="1" customHeight="1" x14ac:dyDescent="0.2">
      <c r="C93" s="178" t="s">
        <v>138</v>
      </c>
      <c r="D93" s="179"/>
      <c r="E93" s="90">
        <f>IF(E81=0,"N/A",I85)</f>
        <v>1.375</v>
      </c>
      <c r="F93" s="9" t="s">
        <v>94</v>
      </c>
      <c r="H93" s="67" t="s">
        <v>21</v>
      </c>
      <c r="I93" s="50">
        <f>E87</f>
        <v>0</v>
      </c>
      <c r="J93" s="72" t="s">
        <v>85</v>
      </c>
      <c r="L93" s="141"/>
    </row>
    <row r="94" spans="3:12" ht="11.25" hidden="1" customHeight="1" x14ac:dyDescent="0.2">
      <c r="C94" s="178" t="s">
        <v>139</v>
      </c>
      <c r="D94" s="179"/>
      <c r="E94" s="90" t="str">
        <f>E86</f>
        <v>N/A</v>
      </c>
      <c r="F94" s="9" t="s">
        <v>94</v>
      </c>
      <c r="H94" s="67" t="s">
        <v>27</v>
      </c>
      <c r="I94" s="69">
        <f>I89*(I93/I88)*(D9/I91)^1.8</f>
        <v>0</v>
      </c>
      <c r="J94" s="73" t="s">
        <v>12</v>
      </c>
      <c r="L94" s="74"/>
    </row>
    <row r="95" spans="3:12" ht="11.25" hidden="1" customHeight="1" x14ac:dyDescent="0.2">
      <c r="C95" s="176" t="s">
        <v>185</v>
      </c>
      <c r="D95" s="177"/>
      <c r="E95" s="50" t="str">
        <f>IF(E87=0,"N/A",'R-410A_Min_Hot-Gas_Riser_Cap'!W23)</f>
        <v>N/A</v>
      </c>
      <c r="F95" s="9" t="s">
        <v>101</v>
      </c>
      <c r="H95" s="67" t="s">
        <v>28</v>
      </c>
      <c r="I95" s="69">
        <f>I90*(I94/I89)</f>
        <v>0</v>
      </c>
      <c r="J95" s="72" t="s">
        <v>100</v>
      </c>
    </row>
    <row r="96" spans="3:12" ht="11.25" hidden="1" customHeight="1" thickBot="1" x14ac:dyDescent="0.25">
      <c r="C96" s="190"/>
      <c r="D96" s="191"/>
      <c r="E96" s="191"/>
      <c r="F96" s="191"/>
      <c r="G96" s="192"/>
      <c r="H96" s="92" t="s">
        <v>22</v>
      </c>
      <c r="I96" s="93" t="str">
        <f>IF(E87=0,"N/A",I91*((I88/I93)*(I94/I89))^0.55)</f>
        <v>N/A</v>
      </c>
      <c r="J96" s="79" t="s">
        <v>101</v>
      </c>
    </row>
    <row r="97" spans="2:11" ht="12" hidden="1" thickBot="1" x14ac:dyDescent="0.25">
      <c r="C97" s="189" t="s">
        <v>110</v>
      </c>
      <c r="D97" s="183"/>
      <c r="E97" s="183"/>
      <c r="F97" s="183"/>
      <c r="G97" s="183"/>
      <c r="H97" s="183"/>
      <c r="I97" s="183"/>
      <c r="J97" s="184"/>
    </row>
    <row r="98" spans="2:11" ht="12" customHeight="1" x14ac:dyDescent="0.2">
      <c r="C98" s="1"/>
    </row>
    <row r="99" spans="2:11" ht="12" x14ac:dyDescent="0.2">
      <c r="B99" s="188" t="s">
        <v>391</v>
      </c>
      <c r="C99" s="188"/>
      <c r="D99" s="188"/>
      <c r="E99" s="188"/>
      <c r="F99" s="188"/>
      <c r="G99" s="188"/>
      <c r="H99" s="188"/>
      <c r="I99" s="188"/>
      <c r="J99" s="188"/>
      <c r="K99" s="188"/>
    </row>
    <row r="100" spans="2:11" ht="12" x14ac:dyDescent="0.2">
      <c r="B100" s="188" t="s">
        <v>399</v>
      </c>
      <c r="C100" s="188"/>
      <c r="D100" s="188"/>
      <c r="E100" s="188"/>
      <c r="F100" s="188"/>
      <c r="G100" s="188"/>
      <c r="H100" s="188"/>
      <c r="I100" s="188"/>
      <c r="J100" s="188"/>
      <c r="K100" s="188"/>
    </row>
    <row r="101" spans="2:11" ht="12.75" customHeight="1" x14ac:dyDescent="0.2">
      <c r="B101" s="188" t="s">
        <v>406</v>
      </c>
      <c r="C101" s="188"/>
      <c r="D101" s="188"/>
      <c r="E101" s="188"/>
      <c r="F101" s="188"/>
      <c r="G101" s="188"/>
      <c r="H101" s="188"/>
      <c r="I101" s="188"/>
      <c r="J101" s="188"/>
      <c r="K101" s="188"/>
    </row>
    <row r="102" spans="2:11" ht="12.75" customHeight="1" x14ac:dyDescent="0.2">
      <c r="B102" s="188" t="s">
        <v>407</v>
      </c>
      <c r="C102" s="188"/>
      <c r="D102" s="188"/>
      <c r="E102" s="188"/>
      <c r="F102" s="188"/>
      <c r="G102" s="188"/>
      <c r="H102" s="188"/>
      <c r="I102" s="188"/>
      <c r="J102" s="188"/>
      <c r="K102" s="188"/>
    </row>
    <row r="103" spans="2:11" ht="12" x14ac:dyDescent="0.2">
      <c r="B103" s="188" t="s">
        <v>418</v>
      </c>
      <c r="C103" s="194"/>
      <c r="D103" s="194"/>
      <c r="E103" s="194"/>
      <c r="F103" s="194"/>
      <c r="G103" s="194"/>
      <c r="H103" s="194"/>
      <c r="I103" s="194"/>
      <c r="J103" s="194"/>
      <c r="K103" s="194"/>
    </row>
    <row r="104" spans="2:11" ht="12.75" customHeight="1" x14ac:dyDescent="0.2">
      <c r="B104" s="188" t="s">
        <v>405</v>
      </c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2:11" ht="12" x14ac:dyDescent="0.2">
      <c r="B105" s="188" t="s">
        <v>404</v>
      </c>
      <c r="C105" s="194"/>
      <c r="D105" s="194"/>
      <c r="E105" s="194"/>
      <c r="F105" s="194"/>
      <c r="G105" s="194"/>
      <c r="H105" s="194"/>
      <c r="I105" s="194"/>
      <c r="J105" s="194"/>
      <c r="K105" s="194"/>
    </row>
    <row r="106" spans="2:11" ht="12" x14ac:dyDescent="0.2">
      <c r="B106" s="188" t="s">
        <v>443</v>
      </c>
      <c r="C106" s="194"/>
      <c r="D106" s="194"/>
      <c r="E106" s="194"/>
      <c r="F106" s="194"/>
      <c r="G106" s="194"/>
      <c r="H106" s="194"/>
      <c r="I106" s="194"/>
      <c r="J106" s="194"/>
      <c r="K106" s="194"/>
    </row>
    <row r="107" spans="2:11" ht="12" x14ac:dyDescent="0.2">
      <c r="B107" s="188" t="s">
        <v>409</v>
      </c>
      <c r="C107" s="194"/>
      <c r="D107" s="194"/>
      <c r="E107" s="194"/>
      <c r="F107" s="194"/>
      <c r="G107" s="194"/>
      <c r="H107" s="194"/>
      <c r="I107" s="194"/>
      <c r="J107" s="194"/>
      <c r="K107" s="194"/>
    </row>
    <row r="108" spans="2:11" ht="12" x14ac:dyDescent="0.2">
      <c r="B108" s="188" t="s">
        <v>392</v>
      </c>
      <c r="C108" s="194"/>
      <c r="D108" s="194"/>
      <c r="E108" s="194"/>
      <c r="F108" s="194"/>
      <c r="G108" s="194"/>
      <c r="H108" s="194"/>
      <c r="I108" s="194"/>
      <c r="J108" s="194"/>
      <c r="K108" s="194"/>
    </row>
    <row r="109" spans="2:11" ht="12" x14ac:dyDescent="0.2">
      <c r="B109" s="188" t="s">
        <v>444</v>
      </c>
      <c r="C109" s="188"/>
      <c r="D109" s="194"/>
      <c r="E109" s="194"/>
      <c r="F109" s="194"/>
      <c r="G109" s="194"/>
      <c r="H109" s="194"/>
      <c r="I109" s="194"/>
      <c r="J109" s="194"/>
      <c r="K109" s="194"/>
    </row>
    <row r="110" spans="2:11" ht="12" x14ac:dyDescent="0.2">
      <c r="B110" s="188" t="s">
        <v>414</v>
      </c>
      <c r="C110" s="194"/>
      <c r="D110" s="194"/>
      <c r="E110" s="194"/>
      <c r="F110" s="194"/>
      <c r="G110" s="194"/>
      <c r="H110" s="194"/>
      <c r="I110" s="194"/>
      <c r="J110" s="194"/>
      <c r="K110" s="194"/>
    </row>
    <row r="111" spans="2:11" ht="12" x14ac:dyDescent="0.2">
      <c r="B111" s="188" t="s">
        <v>393</v>
      </c>
      <c r="C111" s="194"/>
      <c r="D111" s="194"/>
      <c r="E111" s="194"/>
      <c r="F111" s="194"/>
      <c r="G111" s="194"/>
      <c r="H111" s="194"/>
      <c r="I111" s="194"/>
      <c r="J111" s="194"/>
      <c r="K111" s="194"/>
    </row>
    <row r="112" spans="2:11" ht="12" x14ac:dyDescent="0.2">
      <c r="B112" s="188" t="s">
        <v>412</v>
      </c>
      <c r="C112" s="194"/>
      <c r="D112" s="194"/>
      <c r="E112" s="194"/>
      <c r="F112" s="194"/>
      <c r="G112" s="194"/>
      <c r="H112" s="194"/>
      <c r="I112" s="194"/>
      <c r="J112" s="194"/>
      <c r="K112" s="194"/>
    </row>
    <row r="113" spans="2:12" ht="12" x14ac:dyDescent="0.2">
      <c r="B113" s="188" t="s">
        <v>413</v>
      </c>
      <c r="C113" s="188"/>
      <c r="D113" s="188"/>
      <c r="E113" s="188"/>
      <c r="F113" s="188"/>
      <c r="G113" s="188"/>
      <c r="H113" s="188"/>
      <c r="I113" s="188"/>
      <c r="J113" s="188"/>
      <c r="K113" s="188"/>
    </row>
    <row r="114" spans="2:12" ht="12" x14ac:dyDescent="0.2">
      <c r="B114" s="188" t="s">
        <v>401</v>
      </c>
      <c r="C114" s="188"/>
      <c r="D114" s="188"/>
      <c r="E114" s="188"/>
      <c r="F114" s="188"/>
      <c r="G114" s="188"/>
      <c r="H114" s="188"/>
      <c r="I114" s="188"/>
      <c r="J114" s="188"/>
      <c r="K114" s="188"/>
    </row>
    <row r="115" spans="2:12" ht="12" x14ac:dyDescent="0.2">
      <c r="B115" s="188" t="s">
        <v>457</v>
      </c>
      <c r="C115" s="194"/>
      <c r="D115" s="194"/>
      <c r="E115" s="194"/>
      <c r="F115" s="194"/>
      <c r="G115" s="194"/>
      <c r="H115" s="194"/>
      <c r="I115" s="194"/>
      <c r="J115" s="194"/>
      <c r="K115" s="194"/>
    </row>
    <row r="116" spans="2:12" ht="12" customHeight="1" x14ac:dyDescent="0.2">
      <c r="B116" s="162"/>
      <c r="C116" s="193" t="s">
        <v>469</v>
      </c>
      <c r="D116" s="193"/>
      <c r="E116" s="193"/>
      <c r="F116" s="193"/>
      <c r="G116" s="193"/>
      <c r="H116" s="193"/>
      <c r="I116" s="193"/>
      <c r="J116" s="193"/>
      <c r="K116" s="193"/>
      <c r="L116" s="174"/>
    </row>
    <row r="117" spans="2:12" ht="12" x14ac:dyDescent="0.2">
      <c r="B117" s="162"/>
      <c r="C117" s="188" t="s">
        <v>468</v>
      </c>
      <c r="D117" s="188"/>
      <c r="E117" s="188"/>
      <c r="F117" s="188"/>
      <c r="G117" s="188"/>
      <c r="H117" s="188"/>
      <c r="I117" s="188"/>
      <c r="J117" s="188"/>
      <c r="K117" s="188"/>
      <c r="L117" s="163"/>
    </row>
    <row r="118" spans="2:12" ht="12" x14ac:dyDescent="0.2">
      <c r="B118" s="188" t="s">
        <v>394</v>
      </c>
      <c r="C118" s="194"/>
      <c r="D118" s="194"/>
      <c r="E118" s="194"/>
      <c r="F118" s="194"/>
      <c r="G118" s="194"/>
      <c r="H118" s="194"/>
      <c r="I118" s="194"/>
      <c r="J118" s="194"/>
      <c r="K118" s="194"/>
    </row>
    <row r="119" spans="2:12" ht="12.75" customHeight="1" x14ac:dyDescent="0.2">
      <c r="B119" s="188" t="s">
        <v>402</v>
      </c>
      <c r="C119" s="188"/>
      <c r="D119" s="188"/>
      <c r="E119" s="188"/>
      <c r="F119" s="188"/>
      <c r="G119" s="188"/>
      <c r="H119" s="188"/>
      <c r="I119" s="188"/>
      <c r="J119" s="188"/>
      <c r="K119" s="188"/>
    </row>
    <row r="120" spans="2:12" ht="12.75" customHeight="1" x14ac:dyDescent="0.2">
      <c r="B120" s="188" t="s">
        <v>415</v>
      </c>
      <c r="C120" s="188"/>
      <c r="D120" s="188"/>
      <c r="E120" s="188"/>
      <c r="F120" s="188"/>
      <c r="G120" s="188"/>
      <c r="H120" s="188"/>
      <c r="I120" s="188"/>
      <c r="J120" s="188"/>
      <c r="K120" s="188"/>
    </row>
    <row r="121" spans="2:12" ht="12.75" customHeight="1" x14ac:dyDescent="0.2">
      <c r="B121" s="162"/>
      <c r="C121" s="164" t="s">
        <v>416</v>
      </c>
      <c r="D121" s="162"/>
      <c r="E121" s="162"/>
      <c r="F121" s="162"/>
      <c r="G121" s="162"/>
      <c r="H121" s="162"/>
      <c r="I121" s="162"/>
      <c r="J121" s="162"/>
      <c r="K121" s="162"/>
    </row>
    <row r="122" spans="2:12" ht="12" x14ac:dyDescent="0.2">
      <c r="B122" s="188" t="s">
        <v>395</v>
      </c>
      <c r="C122" s="194"/>
      <c r="D122" s="194"/>
      <c r="E122" s="194"/>
      <c r="F122" s="194"/>
      <c r="G122" s="194"/>
      <c r="H122" s="194"/>
      <c r="I122" s="194"/>
      <c r="J122" s="194"/>
      <c r="K122" s="194"/>
    </row>
    <row r="123" spans="2:12" ht="12" x14ac:dyDescent="0.2">
      <c r="B123" s="188" t="s">
        <v>396</v>
      </c>
      <c r="C123" s="194"/>
      <c r="D123" s="194"/>
      <c r="E123" s="194"/>
      <c r="F123" s="194"/>
      <c r="G123" s="194"/>
      <c r="H123" s="194"/>
      <c r="I123" s="194"/>
      <c r="J123" s="194"/>
      <c r="K123" s="194"/>
    </row>
    <row r="124" spans="2:12" ht="12" x14ac:dyDescent="0.2">
      <c r="B124" s="188" t="s">
        <v>397</v>
      </c>
      <c r="C124" s="194"/>
      <c r="D124" s="194"/>
      <c r="E124" s="194"/>
      <c r="F124" s="194"/>
      <c r="G124" s="194"/>
      <c r="H124" s="194"/>
      <c r="I124" s="194"/>
      <c r="J124" s="194"/>
      <c r="K124" s="194"/>
    </row>
    <row r="125" spans="2:12" ht="12" x14ac:dyDescent="0.2">
      <c r="B125" s="188" t="s">
        <v>417</v>
      </c>
      <c r="C125" s="194"/>
      <c r="D125" s="194"/>
      <c r="E125" s="194"/>
      <c r="F125" s="194"/>
      <c r="G125" s="194"/>
      <c r="H125" s="194"/>
      <c r="I125" s="194"/>
      <c r="J125" s="194"/>
      <c r="K125" s="194"/>
    </row>
    <row r="126" spans="2:12" ht="12" x14ac:dyDescent="0.2">
      <c r="B126" s="188" t="s">
        <v>408</v>
      </c>
      <c r="C126" s="194"/>
      <c r="D126" s="194"/>
      <c r="E126" s="194"/>
      <c r="F126" s="194"/>
      <c r="G126" s="194"/>
      <c r="H126" s="194"/>
      <c r="I126" s="194"/>
      <c r="J126" s="194"/>
      <c r="K126" s="194"/>
    </row>
    <row r="127" spans="2:12" ht="12" x14ac:dyDescent="0.2">
      <c r="B127" s="188" t="s">
        <v>439</v>
      </c>
      <c r="C127" s="194"/>
      <c r="D127" s="194"/>
      <c r="E127" s="194"/>
      <c r="F127" s="194"/>
      <c r="G127" s="194"/>
      <c r="H127" s="194"/>
      <c r="I127" s="194"/>
      <c r="J127" s="194"/>
      <c r="K127" s="194"/>
    </row>
    <row r="128" spans="2:12" ht="12" x14ac:dyDescent="0.2">
      <c r="B128" s="162"/>
      <c r="C128" s="188" t="s">
        <v>440</v>
      </c>
      <c r="D128" s="194"/>
      <c r="E128" s="194"/>
      <c r="F128" s="194"/>
      <c r="G128" s="194"/>
      <c r="H128" s="194"/>
      <c r="I128" s="163"/>
      <c r="J128" s="163"/>
      <c r="K128" s="163"/>
    </row>
    <row r="129" spans="2:11" ht="12" x14ac:dyDescent="0.2">
      <c r="B129" s="188" t="s">
        <v>400</v>
      </c>
      <c r="C129" s="194"/>
      <c r="D129" s="194"/>
      <c r="E129" s="194"/>
      <c r="F129" s="194"/>
      <c r="G129" s="194"/>
      <c r="H129" s="194"/>
      <c r="I129" s="194"/>
      <c r="J129" s="194"/>
      <c r="K129" s="194"/>
    </row>
    <row r="130" spans="2:11" ht="12" x14ac:dyDescent="0.2">
      <c r="B130" s="188" t="s">
        <v>411</v>
      </c>
      <c r="C130" s="194"/>
      <c r="D130" s="194"/>
      <c r="E130" s="194"/>
      <c r="F130" s="194"/>
      <c r="G130" s="194"/>
      <c r="H130" s="194"/>
      <c r="I130" s="194"/>
      <c r="J130" s="194"/>
      <c r="K130" s="194"/>
    </row>
    <row r="131" spans="2:11" ht="12" x14ac:dyDescent="0.2">
      <c r="B131" s="188" t="s">
        <v>410</v>
      </c>
      <c r="C131" s="194"/>
      <c r="D131" s="194"/>
      <c r="E131" s="194"/>
      <c r="F131" s="194"/>
      <c r="G131" s="194"/>
      <c r="H131" s="194"/>
      <c r="I131" s="194"/>
      <c r="J131" s="194"/>
      <c r="K131" s="194"/>
    </row>
    <row r="132" spans="2:11" ht="12" x14ac:dyDescent="0.2">
      <c r="B132" s="188" t="s">
        <v>398</v>
      </c>
      <c r="C132" s="194"/>
      <c r="D132" s="194"/>
      <c r="E132" s="194"/>
      <c r="F132" s="194"/>
      <c r="G132" s="194"/>
      <c r="H132" s="194"/>
      <c r="I132" s="194"/>
      <c r="J132" s="194"/>
      <c r="K132" s="194"/>
    </row>
    <row r="153" spans="3:3" x14ac:dyDescent="0.2">
      <c r="C153" s="159" t="s">
        <v>434</v>
      </c>
    </row>
    <row r="154" spans="3:3" x14ac:dyDescent="0.2">
      <c r="C154" s="1"/>
    </row>
  </sheetData>
  <mergeCells count="124">
    <mergeCell ref="C117:K117"/>
    <mergeCell ref="B122:K122"/>
    <mergeCell ref="B107:K107"/>
    <mergeCell ref="B113:K113"/>
    <mergeCell ref="B101:K101"/>
    <mergeCell ref="B102:K102"/>
    <mergeCell ref="B112:K112"/>
    <mergeCell ref="B132:K132"/>
    <mergeCell ref="B123:K123"/>
    <mergeCell ref="B124:K124"/>
    <mergeCell ref="B127:K127"/>
    <mergeCell ref="B129:K129"/>
    <mergeCell ref="B125:K125"/>
    <mergeCell ref="B131:K131"/>
    <mergeCell ref="B126:K126"/>
    <mergeCell ref="B130:K130"/>
    <mergeCell ref="C128:H128"/>
    <mergeCell ref="A14:C14"/>
    <mergeCell ref="C55:J55"/>
    <mergeCell ref="H45:J45"/>
    <mergeCell ref="C33:F33"/>
    <mergeCell ref="H33:J33"/>
    <mergeCell ref="B115:K115"/>
    <mergeCell ref="F12:K12"/>
    <mergeCell ref="C29:J29"/>
    <mergeCell ref="C16:J16"/>
    <mergeCell ref="C31:J31"/>
    <mergeCell ref="F14:K14"/>
    <mergeCell ref="C27:D27"/>
    <mergeCell ref="A12:C12"/>
    <mergeCell ref="C6:G6"/>
    <mergeCell ref="C5:G5"/>
    <mergeCell ref="C4:G4"/>
    <mergeCell ref="C3:G3"/>
    <mergeCell ref="B114:K114"/>
    <mergeCell ref="A1:K1"/>
    <mergeCell ref="D8:E8"/>
    <mergeCell ref="I4:K4"/>
    <mergeCell ref="A8:C8"/>
    <mergeCell ref="I5:K5"/>
    <mergeCell ref="A3:B3"/>
    <mergeCell ref="A4:B4"/>
    <mergeCell ref="A5:B5"/>
    <mergeCell ref="A6:B6"/>
    <mergeCell ref="I6:K6"/>
    <mergeCell ref="I3:K3"/>
    <mergeCell ref="C51:D51"/>
    <mergeCell ref="H38:J38"/>
    <mergeCell ref="C42:F42"/>
    <mergeCell ref="C45:D45"/>
    <mergeCell ref="C39:D39"/>
    <mergeCell ref="E34:F34"/>
    <mergeCell ref="E19:F19"/>
    <mergeCell ref="H59:J59"/>
    <mergeCell ref="H64:J64"/>
    <mergeCell ref="E76:F76"/>
    <mergeCell ref="C73:J73"/>
    <mergeCell ref="C60:D60"/>
    <mergeCell ref="C57:J57"/>
    <mergeCell ref="C59:F59"/>
    <mergeCell ref="C65:F65"/>
    <mergeCell ref="S2:T2"/>
    <mergeCell ref="S3:T3"/>
    <mergeCell ref="S4:T4"/>
    <mergeCell ref="S5:T5"/>
    <mergeCell ref="S9:T9"/>
    <mergeCell ref="F9:K9"/>
    <mergeCell ref="A9:C9"/>
    <mergeCell ref="A13:C13"/>
    <mergeCell ref="S6:T6"/>
    <mergeCell ref="S7:T7"/>
    <mergeCell ref="S8:T8"/>
    <mergeCell ref="F13:K13"/>
    <mergeCell ref="A10:C10"/>
    <mergeCell ref="F10:K10"/>
    <mergeCell ref="F11:K11"/>
    <mergeCell ref="A11:C11"/>
    <mergeCell ref="C18:F18"/>
    <mergeCell ref="H18:J18"/>
    <mergeCell ref="H23:J23"/>
    <mergeCell ref="C53:D53"/>
    <mergeCell ref="C54:D54"/>
    <mergeCell ref="H50:J50"/>
    <mergeCell ref="C43:D43"/>
    <mergeCell ref="C44:D44"/>
    <mergeCell ref="C50:D50"/>
    <mergeCell ref="C49:F49"/>
    <mergeCell ref="C52:D52"/>
    <mergeCell ref="B120:K120"/>
    <mergeCell ref="C97:J97"/>
    <mergeCell ref="C84:F84"/>
    <mergeCell ref="C87:D87"/>
    <mergeCell ref="C90:F90"/>
    <mergeCell ref="C95:D95"/>
    <mergeCell ref="C96:G96"/>
    <mergeCell ref="C94:D94"/>
    <mergeCell ref="C92:D92"/>
    <mergeCell ref="C116:K116"/>
    <mergeCell ref="C85:D85"/>
    <mergeCell ref="C86:D86"/>
    <mergeCell ref="B99:K99"/>
    <mergeCell ref="B100:K100"/>
    <mergeCell ref="B103:K103"/>
    <mergeCell ref="B106:K106"/>
    <mergeCell ref="B104:K104"/>
    <mergeCell ref="B105:K105"/>
    <mergeCell ref="B119:K119"/>
    <mergeCell ref="B108:K108"/>
    <mergeCell ref="B109:K109"/>
    <mergeCell ref="B110:K110"/>
    <mergeCell ref="B111:K111"/>
    <mergeCell ref="B118:K118"/>
    <mergeCell ref="C81:D81"/>
    <mergeCell ref="C93:D93"/>
    <mergeCell ref="H92:J92"/>
    <mergeCell ref="C91:D91"/>
    <mergeCell ref="C72:J72"/>
    <mergeCell ref="C61:D61"/>
    <mergeCell ref="C62:D62"/>
    <mergeCell ref="H87:J87"/>
    <mergeCell ref="C71:D71"/>
    <mergeCell ref="C75:F75"/>
    <mergeCell ref="H80:J80"/>
    <mergeCell ref="H75:J75"/>
  </mergeCells>
  <phoneticPr fontId="2" type="noConversion"/>
  <conditionalFormatting sqref="A58:B72 K58:K72">
    <cfRule type="expression" dxfId="0" priority="2" stopIfTrue="1">
      <formula>$M$10="No"</formula>
    </cfRule>
  </conditionalFormatting>
  <dataValidations count="7">
    <dataValidation type="list" allowBlank="1" showInputMessage="1" showErrorMessage="1" sqref="C77:C79 C67:C69 C20:C25 C35:C37" xr:uid="{00000000-0002-0000-0100-000000000000}">
      <formula1>$Q$2:$Q$22</formula1>
    </dataValidation>
    <dataValidation type="list" allowBlank="1" showInputMessage="1" showErrorMessage="1" sqref="D13" xr:uid="{00000000-0002-0000-0100-000001000000}">
      <formula1>$N$3</formula1>
    </dataValidation>
    <dataValidation type="list" allowBlank="1" showInputMessage="1" showErrorMessage="1" sqref="D11" xr:uid="{00000000-0002-0000-0100-000002000000}">
      <formula1>$O$4:$O$9</formula1>
    </dataValidation>
    <dataValidation type="list" allowBlank="1" showInputMessage="1" showErrorMessage="1" sqref="M10:M11" xr:uid="{00000000-0002-0000-0100-000003000000}">
      <formula1>#REF!</formula1>
    </dataValidation>
    <dataValidation type="list" allowBlank="1" showInputMessage="1" showErrorMessage="1" sqref="C5" xr:uid="{00000000-0002-0000-0100-000004000000}">
      <formula1>$X$2:$X$49</formula1>
    </dataValidation>
    <dataValidation type="list" allowBlank="1" showInputMessage="1" showErrorMessage="1" sqref="C6" xr:uid="{00000000-0002-0000-0100-000005000000}">
      <formula1>$M$2:$M$5</formula1>
    </dataValidation>
    <dataValidation type="list" allowBlank="1" showInputMessage="1" showErrorMessage="1" sqref="I3:K3" xr:uid="{00000000-0002-0000-0100-000006000000}">
      <formula1>$V$3:$V$72</formula1>
    </dataValidation>
  </dataValidations>
  <printOptions horizontalCentered="1"/>
  <pageMargins left="0.5" right="0.5" top="0.5" bottom="1" header="0.5" footer="0.5"/>
  <pageSetup scale="79" orientation="portrait" r:id="rId1"/>
  <headerFooter alignWithMargins="0">
    <oddFooter>&amp;C&amp;P of &amp;N&amp;R&amp;G</oddFooter>
  </headerFooter>
  <rowBreaks count="1" manualBreakCount="1">
    <brk id="97" max="10" man="1"/>
  </rowBreaks>
  <drawing r:id="rId2"/>
  <legacyDrawing r:id="rId3"/>
  <legacyDrawingHF r:id="rId4"/>
  <controls>
    <mc:AlternateContent xmlns:mc="http://schemas.openxmlformats.org/markup-compatibility/2006">
      <mc:Choice Requires="x14">
        <control shapeId="3074" r:id="rId5" name="ComboBox3">
          <controlPr defaultSize="0" autoLine="0" autoPict="0" listFillRange="P12:P14" r:id="rId6">
            <anchor moveWithCells="1" sizeWithCells="1">
              <from>
                <xdr:col>2</xdr:col>
                <xdr:colOff>771525</xdr:colOff>
                <xdr:row>72</xdr:row>
                <xdr:rowOff>0</xdr:rowOff>
              </from>
              <to>
                <xdr:col>4</xdr:col>
                <xdr:colOff>19050</xdr:colOff>
                <xdr:row>72</xdr:row>
                <xdr:rowOff>0</xdr:rowOff>
              </to>
            </anchor>
          </controlPr>
        </control>
      </mc:Choice>
      <mc:Fallback>
        <control shapeId="3074" r:id="rId5" name="ComboBox3"/>
      </mc:Fallback>
    </mc:AlternateContent>
    <mc:AlternateContent xmlns:mc="http://schemas.openxmlformats.org/markup-compatibility/2006">
      <mc:Choice Requires="x14">
        <control shapeId="3073" r:id="rId7" name="ComboBox1">
          <controlPr defaultSize="0" autoLine="0" autoPict="0" listFillRange="P12:P14" r:id="rId8">
            <anchor moveWithCells="1" sizeWithCells="1">
              <from>
                <xdr:col>3</xdr:col>
                <xdr:colOff>0</xdr:colOff>
                <xdr:row>72</xdr:row>
                <xdr:rowOff>0</xdr:rowOff>
              </from>
              <to>
                <xdr:col>4</xdr:col>
                <xdr:colOff>28575</xdr:colOff>
                <xdr:row>72</xdr:row>
                <xdr:rowOff>0</xdr:rowOff>
              </to>
            </anchor>
          </controlPr>
        </control>
      </mc:Choice>
      <mc:Fallback>
        <control shapeId="3073" r:id="rId7" name="ComboBox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Q58"/>
  <sheetViews>
    <sheetView topLeftCell="Z1" zoomScale="80" workbookViewId="0">
      <selection activeCell="AO12" sqref="AO12"/>
    </sheetView>
  </sheetViews>
  <sheetFormatPr defaultRowHeight="11.25" x14ac:dyDescent="0.2"/>
  <cols>
    <col min="1" max="2" width="9.7109375" style="1" customWidth="1"/>
    <col min="3" max="6" width="9.140625" style="1"/>
    <col min="7" max="8" width="10" style="1" customWidth="1"/>
    <col min="9" max="9" width="7.5703125" style="1" customWidth="1"/>
    <col min="10" max="11" width="9.140625" style="1"/>
    <col min="12" max="12" width="5.7109375" style="1" customWidth="1"/>
    <col min="13" max="13" width="10.42578125" style="1" customWidth="1"/>
    <col min="14" max="14" width="7.5703125" style="1" customWidth="1"/>
    <col min="15" max="15" width="11.7109375" style="1" customWidth="1"/>
    <col min="16" max="16" width="13" style="1" customWidth="1"/>
    <col min="17" max="17" width="5.7109375" style="1" customWidth="1"/>
    <col min="18" max="18" width="9.140625" style="1"/>
    <col min="19" max="19" width="11.28515625" style="1" bestFit="1" customWidth="1"/>
    <col min="20" max="20" width="7.5703125" style="1" customWidth="1"/>
    <col min="21" max="21" width="11.140625" style="1" customWidth="1"/>
    <col min="22" max="22" width="7.7109375" style="1" customWidth="1"/>
    <col min="23" max="23" width="11.7109375" style="1" customWidth="1"/>
    <col min="24" max="25" width="9.140625" style="1"/>
    <col min="26" max="26" width="5.7109375" style="1" customWidth="1"/>
    <col min="27" max="27" width="8.7109375" style="1" customWidth="1"/>
    <col min="28" max="29" width="11.7109375" style="1" customWidth="1"/>
    <col min="30" max="30" width="12.140625" style="1" customWidth="1"/>
    <col min="31" max="32" width="11.7109375" style="1" customWidth="1"/>
    <col min="33" max="33" width="12.85546875" style="1" customWidth="1"/>
    <col min="34" max="34" width="8.7109375" style="1" customWidth="1"/>
    <col min="35" max="35" width="11.140625" style="1" customWidth="1"/>
    <col min="36" max="37" width="10.28515625" style="1" customWidth="1"/>
    <col min="38" max="38" width="13.140625" style="1" customWidth="1"/>
    <col min="39" max="39" width="7.5703125" style="1" customWidth="1"/>
    <col min="40" max="40" width="11.140625" style="1" customWidth="1"/>
    <col min="41" max="41" width="10.7109375" style="4" customWidth="1"/>
    <col min="42" max="42" width="11.5703125" style="1" customWidth="1"/>
    <col min="43" max="43" width="13" style="1" customWidth="1"/>
    <col min="44" max="16384" width="9.140625" style="1"/>
  </cols>
  <sheetData>
    <row r="1" spans="1:43" ht="12.75" customHeight="1" x14ac:dyDescent="0.2">
      <c r="A1" s="267" t="s">
        <v>40</v>
      </c>
      <c r="B1" s="267"/>
      <c r="C1" s="267"/>
      <c r="D1" s="267"/>
      <c r="E1" s="3"/>
      <c r="F1" s="265" t="s">
        <v>41</v>
      </c>
      <c r="G1" s="265"/>
      <c r="H1" s="268" t="s">
        <v>42</v>
      </c>
      <c r="I1" s="268"/>
      <c r="J1" s="180" t="s">
        <v>43</v>
      </c>
      <c r="K1" s="180"/>
      <c r="L1" s="256" t="s">
        <v>157</v>
      </c>
      <c r="M1" s="256"/>
    </row>
    <row r="3" spans="1:43" ht="12.75" customHeight="1" x14ac:dyDescent="0.2">
      <c r="A3" s="245" t="s">
        <v>222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AN3" s="245" t="s">
        <v>103</v>
      </c>
      <c r="AO3" s="245"/>
      <c r="AP3" s="245"/>
      <c r="AQ3" s="245"/>
    </row>
    <row r="4" spans="1:43" ht="11.25" customHeight="1" x14ac:dyDescent="0.2">
      <c r="A4" s="263" t="s">
        <v>0</v>
      </c>
      <c r="B4" s="266" t="s">
        <v>3</v>
      </c>
      <c r="C4" s="266"/>
      <c r="D4" s="266"/>
      <c r="E4" s="266"/>
      <c r="F4" s="266"/>
      <c r="G4" s="252" t="s">
        <v>227</v>
      </c>
      <c r="H4" s="252"/>
      <c r="I4" s="252" t="s">
        <v>0</v>
      </c>
      <c r="J4" s="265" t="s">
        <v>1</v>
      </c>
      <c r="K4" s="265"/>
      <c r="M4" s="245" t="s">
        <v>104</v>
      </c>
      <c r="N4" s="245"/>
      <c r="O4" s="245"/>
      <c r="P4" s="245"/>
      <c r="R4" s="2"/>
      <c r="W4" s="245" t="s">
        <v>224</v>
      </c>
      <c r="X4" s="245"/>
      <c r="Y4" s="245"/>
      <c r="AA4" s="245" t="s">
        <v>38</v>
      </c>
      <c r="AB4" s="245"/>
      <c r="AC4" s="245"/>
      <c r="AD4" s="245"/>
      <c r="AE4" s="245"/>
      <c r="AF4" s="245"/>
      <c r="AG4" s="245"/>
      <c r="AH4" s="245"/>
      <c r="AJ4" s="245" t="s">
        <v>225</v>
      </c>
      <c r="AK4" s="245"/>
      <c r="AL4" s="245"/>
      <c r="AM4" s="245"/>
      <c r="AN4" s="246" t="s">
        <v>44</v>
      </c>
      <c r="AO4" s="248" t="s">
        <v>108</v>
      </c>
      <c r="AP4" s="248" t="s">
        <v>45</v>
      </c>
      <c r="AQ4" s="248" t="s">
        <v>46</v>
      </c>
    </row>
    <row r="5" spans="1:43" ht="11.25" customHeight="1" x14ac:dyDescent="0.2">
      <c r="A5" s="264"/>
      <c r="B5" s="266" t="s">
        <v>8</v>
      </c>
      <c r="C5" s="266"/>
      <c r="D5" s="266"/>
      <c r="E5" s="266"/>
      <c r="F5" s="266"/>
      <c r="G5" s="252"/>
      <c r="H5" s="252"/>
      <c r="I5" s="252"/>
      <c r="J5" s="265" t="s">
        <v>223</v>
      </c>
      <c r="K5" s="265"/>
      <c r="M5" s="248" t="s">
        <v>99</v>
      </c>
      <c r="N5" s="75" t="s">
        <v>0</v>
      </c>
      <c r="O5" s="248" t="s">
        <v>98</v>
      </c>
      <c r="P5" s="248" t="s">
        <v>102</v>
      </c>
      <c r="R5" s="245" t="s">
        <v>114</v>
      </c>
      <c r="S5" s="245"/>
      <c r="T5" s="245"/>
      <c r="U5" s="245"/>
      <c r="W5" s="252" t="s">
        <v>105</v>
      </c>
      <c r="X5" s="252" t="s">
        <v>29</v>
      </c>
      <c r="Y5" s="252" t="s">
        <v>30</v>
      </c>
      <c r="AA5" s="261" t="s">
        <v>32</v>
      </c>
      <c r="AB5" s="248" t="s">
        <v>33</v>
      </c>
      <c r="AC5" s="248" t="s">
        <v>34</v>
      </c>
      <c r="AD5" s="258" t="s">
        <v>35</v>
      </c>
      <c r="AE5" s="258" t="s">
        <v>36</v>
      </c>
      <c r="AF5" s="258" t="s">
        <v>37</v>
      </c>
      <c r="AG5" s="274" t="s">
        <v>29</v>
      </c>
      <c r="AH5" s="274" t="s">
        <v>30</v>
      </c>
      <c r="AJ5" s="19" t="s">
        <v>11</v>
      </c>
      <c r="AK5" s="29" t="s">
        <v>10</v>
      </c>
      <c r="AL5" s="250" t="s">
        <v>44</v>
      </c>
      <c r="AM5" s="252" t="s">
        <v>2</v>
      </c>
      <c r="AN5" s="247"/>
      <c r="AO5" s="248"/>
      <c r="AP5" s="248"/>
      <c r="AQ5" s="248"/>
    </row>
    <row r="6" spans="1:43" ht="11.25" customHeight="1" x14ac:dyDescent="0.2">
      <c r="A6" s="252" t="s">
        <v>2</v>
      </c>
      <c r="B6" s="15">
        <v>-40</v>
      </c>
      <c r="C6" s="15">
        <v>-20</v>
      </c>
      <c r="D6" s="15">
        <v>0</v>
      </c>
      <c r="E6" s="15">
        <v>20</v>
      </c>
      <c r="F6" s="15">
        <v>40</v>
      </c>
      <c r="G6" s="252" t="s">
        <v>5</v>
      </c>
      <c r="H6" s="252"/>
      <c r="I6" s="252" t="s">
        <v>2</v>
      </c>
      <c r="J6" s="16" t="s">
        <v>6</v>
      </c>
      <c r="K6" s="17" t="s">
        <v>7</v>
      </c>
      <c r="M6" s="248"/>
      <c r="N6" s="262" t="s">
        <v>2</v>
      </c>
      <c r="O6" s="248"/>
      <c r="P6" s="248"/>
      <c r="R6" s="19" t="s">
        <v>11</v>
      </c>
      <c r="S6" s="21" t="s">
        <v>10</v>
      </c>
      <c r="T6" s="252" t="str">
        <f>A6</f>
        <v>Type L Copper, OD</v>
      </c>
      <c r="U6" s="275" t="s">
        <v>44</v>
      </c>
      <c r="W6" s="252"/>
      <c r="X6" s="252"/>
      <c r="Y6" s="252"/>
      <c r="AA6" s="261"/>
      <c r="AB6" s="248"/>
      <c r="AC6" s="248"/>
      <c r="AD6" s="259"/>
      <c r="AE6" s="259"/>
      <c r="AF6" s="259"/>
      <c r="AG6" s="274"/>
      <c r="AH6" s="274"/>
      <c r="AJ6" s="20" t="s">
        <v>12</v>
      </c>
      <c r="AK6" s="32" t="s">
        <v>15</v>
      </c>
      <c r="AL6" s="251"/>
      <c r="AM6" s="252"/>
      <c r="AN6" s="19" t="s">
        <v>9</v>
      </c>
      <c r="AO6" s="248"/>
      <c r="AP6" s="248"/>
      <c r="AQ6" s="248"/>
    </row>
    <row r="7" spans="1:43" x14ac:dyDescent="0.2">
      <c r="A7" s="252"/>
      <c r="B7" s="266" t="s">
        <v>4</v>
      </c>
      <c r="C7" s="266"/>
      <c r="D7" s="266"/>
      <c r="E7" s="266"/>
      <c r="F7" s="266"/>
      <c r="G7" s="252"/>
      <c r="H7" s="252"/>
      <c r="I7" s="252"/>
      <c r="J7" s="16" t="s">
        <v>13</v>
      </c>
      <c r="K7" s="17" t="s">
        <v>14</v>
      </c>
      <c r="M7" s="248"/>
      <c r="N7" s="262"/>
      <c r="O7" s="248"/>
      <c r="P7" s="248"/>
      <c r="R7" s="20" t="s">
        <v>12</v>
      </c>
      <c r="S7" s="22" t="s">
        <v>15</v>
      </c>
      <c r="T7" s="252"/>
      <c r="U7" s="276"/>
      <c r="W7" s="24" t="s">
        <v>12</v>
      </c>
      <c r="X7" s="16" t="s">
        <v>31</v>
      </c>
      <c r="Y7" s="16" t="s">
        <v>31</v>
      </c>
      <c r="AA7" s="26" t="s">
        <v>12</v>
      </c>
      <c r="AB7" s="248"/>
      <c r="AC7" s="248"/>
      <c r="AD7" s="260"/>
      <c r="AE7" s="260"/>
      <c r="AF7" s="260"/>
      <c r="AG7" s="29" t="s">
        <v>31</v>
      </c>
      <c r="AH7" s="29" t="s">
        <v>31</v>
      </c>
      <c r="AJ7" s="13">
        <f>R8</f>
        <v>40</v>
      </c>
      <c r="AK7" s="31">
        <f>S8</f>
        <v>4.5063000000000004</v>
      </c>
      <c r="AL7" s="29" t="s">
        <v>9</v>
      </c>
      <c r="AM7" s="252"/>
      <c r="AN7" s="13">
        <f>'R-410A_Calculator'!D9</f>
        <v>17.8</v>
      </c>
      <c r="AO7" s="248"/>
      <c r="AP7" s="248"/>
      <c r="AQ7" s="248"/>
    </row>
    <row r="8" spans="1:43" x14ac:dyDescent="0.2">
      <c r="A8" s="252"/>
      <c r="B8" s="15">
        <v>1.27</v>
      </c>
      <c r="C8" s="15">
        <v>1.85</v>
      </c>
      <c r="D8" s="15">
        <v>2.57</v>
      </c>
      <c r="E8" s="15">
        <v>3.46</v>
      </c>
      <c r="F8" s="15">
        <v>4.5</v>
      </c>
      <c r="G8" s="16">
        <v>-40</v>
      </c>
      <c r="H8" s="16">
        <v>40</v>
      </c>
      <c r="I8" s="252"/>
      <c r="J8" s="16">
        <v>100</v>
      </c>
      <c r="K8" s="16">
        <v>4.75</v>
      </c>
      <c r="M8" s="248"/>
      <c r="N8" s="262"/>
      <c r="O8" s="248"/>
      <c r="P8" s="248"/>
      <c r="R8" s="13">
        <f>'R-410A_Calculator'!D12</f>
        <v>40</v>
      </c>
      <c r="S8" s="23">
        <f xml:space="preserve"> 0.0002*R8^2 + 0.0403*R8 + 2.5743</f>
        <v>4.5063000000000004</v>
      </c>
      <c r="T8" s="252"/>
      <c r="U8" s="21" t="s">
        <v>9</v>
      </c>
      <c r="W8" s="6">
        <v>80</v>
      </c>
      <c r="X8" s="110">
        <v>1.17</v>
      </c>
      <c r="Y8" s="110">
        <v>0.81499999999999995</v>
      </c>
      <c r="AA8" s="13">
        <f>'R-410A_Calculator'!D11</f>
        <v>120</v>
      </c>
      <c r="AB8" s="27">
        <f t="shared" ref="AB8:AB13" si="0">IF($AA$8&gt;=W8,W8,"")</f>
        <v>80</v>
      </c>
      <c r="AC8" s="27" t="str">
        <f t="shared" ref="AC8:AC13" si="1">IF($AA$8&lt;=W8,W8,"")</f>
        <v/>
      </c>
      <c r="AD8" s="27">
        <f>MAX(AB8:AB13)</f>
        <v>120</v>
      </c>
      <c r="AE8" s="28">
        <f>VLOOKUP(AD8,W8:Y13,2)</f>
        <v>0.88900000000000001</v>
      </c>
      <c r="AF8" s="28">
        <f>VLOOKUP(AD8,W8:Y13,3)</f>
        <v>1.0960000000000001</v>
      </c>
      <c r="AG8" s="30">
        <f>IF(AA8=80,X8,IF(AA8=90,X9,IF(AA8=100,X10,IF(AA8=110,X11,IF(AA8=120,X12,IF(AA8=130,X13,FORECAST(AA8,AE8:AE9,AD8:AD9)))))))</f>
        <v>0.88900000000000001</v>
      </c>
      <c r="AH8" s="30">
        <f>IF(AA8=80,Y8,IF(AA8=90,Y9,IF(AA8=100,Y10,IF(AA8=110,Y11,IF(AA8=120,Y12,IF(AA8=130,Y13,FORECAST(AA8,AF8:AF9,AD8:AD9)))))))</f>
        <v>1.0960000000000001</v>
      </c>
      <c r="AL8" s="28">
        <f t="shared" ref="AL8:AL21" si="2">$AG$8*U9</f>
        <v>0.78792070000000003</v>
      </c>
      <c r="AM8" s="5">
        <f>A9</f>
        <v>0.5</v>
      </c>
      <c r="AO8" s="28" t="str">
        <f>IF(AL8&gt;=$AN$7,AL8,"")</f>
        <v/>
      </c>
      <c r="AP8" s="33">
        <f>MIN(AO8:AO22)</f>
        <v>13.74</v>
      </c>
      <c r="AQ8" s="35">
        <f>VLOOKUP(AP8,AL8:AM22,2)</f>
        <v>1.375</v>
      </c>
    </row>
    <row r="9" spans="1:43" x14ac:dyDescent="0.2">
      <c r="A9" s="5">
        <v>0.5</v>
      </c>
      <c r="B9" s="25">
        <v>0.17</v>
      </c>
      <c r="C9" s="25">
        <v>0.27</v>
      </c>
      <c r="D9" s="25">
        <v>0.42</v>
      </c>
      <c r="E9" s="25">
        <v>0.62</v>
      </c>
      <c r="F9" s="25">
        <v>0.89</v>
      </c>
      <c r="G9" s="25">
        <v>1.17</v>
      </c>
      <c r="H9" s="25">
        <v>1.33</v>
      </c>
      <c r="I9" s="5">
        <f>A9</f>
        <v>0.5</v>
      </c>
      <c r="J9" s="18">
        <v>2</v>
      </c>
      <c r="K9" s="25">
        <v>4.5999999999999996</v>
      </c>
      <c r="M9" s="28" t="str">
        <f>IF(K9&gt;='R-410A_Calculator'!$D$9,'R-410A_Data'!K9,"")</f>
        <v/>
      </c>
      <c r="N9" s="5">
        <f t="shared" ref="N9:N23" si="3">A9</f>
        <v>0.5</v>
      </c>
      <c r="O9" s="33">
        <f>MIN(M9:M20)</f>
        <v>14.3</v>
      </c>
      <c r="P9" s="35">
        <f>VLOOKUP(O9,K9:N20,4)</f>
        <v>0.75</v>
      </c>
      <c r="T9" s="5">
        <f t="shared" ref="T9:T23" si="4">A9</f>
        <v>0.5</v>
      </c>
      <c r="U9" s="107">
        <f xml:space="preserve"> 0.00007*R8^2 + 0.0089*R8 + 0.4183</f>
        <v>0.88629999999999998</v>
      </c>
      <c r="W9" s="6">
        <v>90</v>
      </c>
      <c r="X9" s="110">
        <v>1.1040000000000001</v>
      </c>
      <c r="Y9" s="110">
        <v>0.88900000000000001</v>
      </c>
      <c r="Z9" s="12"/>
      <c r="AB9" s="27">
        <f t="shared" si="0"/>
        <v>90</v>
      </c>
      <c r="AC9" s="27" t="str">
        <f t="shared" si="1"/>
        <v/>
      </c>
      <c r="AD9" s="27">
        <f>MIN(AC8:AC13)</f>
        <v>120</v>
      </c>
      <c r="AE9" s="28">
        <f>VLOOKUP(AD9,W8:Y13,2)</f>
        <v>0.88900000000000001</v>
      </c>
      <c r="AF9" s="28">
        <f>VLOOKUP(AD9,W8:Y13,3)</f>
        <v>1.0960000000000001</v>
      </c>
      <c r="AL9" s="28">
        <f t="shared" si="2"/>
        <v>1.445514</v>
      </c>
      <c r="AM9" s="5">
        <f t="shared" ref="AM9:AM21" si="5">A10</f>
        <v>0.625</v>
      </c>
      <c r="AO9" s="28" t="str">
        <f t="shared" ref="AO9:AO22" si="6">IF(AL9&gt;=$AN$7,AL9,"")</f>
        <v/>
      </c>
      <c r="AP9" s="11"/>
    </row>
    <row r="10" spans="1:43" x14ac:dyDescent="0.2">
      <c r="A10" s="5">
        <v>0.625</v>
      </c>
      <c r="B10" s="25">
        <v>0.31</v>
      </c>
      <c r="C10" s="25">
        <v>0.51</v>
      </c>
      <c r="D10" s="25">
        <v>0.79</v>
      </c>
      <c r="E10" s="25">
        <v>1.17</v>
      </c>
      <c r="F10" s="25">
        <v>1.67</v>
      </c>
      <c r="G10" s="25">
        <v>2.2000000000000002</v>
      </c>
      <c r="H10" s="25">
        <v>2.4900000000000002</v>
      </c>
      <c r="I10" s="5">
        <f t="shared" ref="I10:I23" si="7">A10</f>
        <v>0.625</v>
      </c>
      <c r="J10" s="18">
        <v>3.2</v>
      </c>
      <c r="K10" s="25">
        <v>8.6</v>
      </c>
      <c r="M10" s="28" t="str">
        <f>IF(K10&gt;='R-410A_Calculator'!$D$9,'R-410A_Data'!K10,"")</f>
        <v/>
      </c>
      <c r="N10" s="5">
        <f t="shared" si="3"/>
        <v>0.625</v>
      </c>
      <c r="P10" s="78"/>
      <c r="T10" s="5">
        <f t="shared" si="4"/>
        <v>0.625</v>
      </c>
      <c r="U10" s="107">
        <f xml:space="preserve"> 0.0001*R8^2 + 0.0169*R8 + 0.79</f>
        <v>1.6259999999999999</v>
      </c>
      <c r="W10" s="6">
        <v>100</v>
      </c>
      <c r="X10" s="110">
        <v>1.0349999999999999</v>
      </c>
      <c r="Y10" s="110">
        <v>0.96299999999999997</v>
      </c>
      <c r="Z10" s="12"/>
      <c r="AB10" s="27">
        <f t="shared" si="0"/>
        <v>100</v>
      </c>
      <c r="AC10" s="27" t="str">
        <f t="shared" si="1"/>
        <v/>
      </c>
      <c r="AL10" s="28">
        <f t="shared" si="2"/>
        <v>2.5060021000000003</v>
      </c>
      <c r="AM10" s="5">
        <f t="shared" si="5"/>
        <v>0.75</v>
      </c>
      <c r="AO10" s="28" t="str">
        <f t="shared" si="6"/>
        <v/>
      </c>
      <c r="AP10" s="11"/>
    </row>
    <row r="11" spans="1:43" x14ac:dyDescent="0.2">
      <c r="A11" s="5">
        <v>0.75</v>
      </c>
      <c r="B11" s="25">
        <v>0.53</v>
      </c>
      <c r="C11" s="25">
        <v>0.87</v>
      </c>
      <c r="D11" s="25">
        <v>1.35</v>
      </c>
      <c r="E11" s="25">
        <v>2</v>
      </c>
      <c r="F11" s="25">
        <v>2.84</v>
      </c>
      <c r="G11" s="25">
        <v>3.74</v>
      </c>
      <c r="H11" s="25">
        <v>4.2300000000000004</v>
      </c>
      <c r="I11" s="5">
        <f t="shared" si="7"/>
        <v>0.75</v>
      </c>
      <c r="J11" s="18">
        <v>1.7</v>
      </c>
      <c r="K11" s="25">
        <v>14.3</v>
      </c>
      <c r="M11" s="28">
        <v>14.3</v>
      </c>
      <c r="N11" s="5">
        <f t="shared" si="3"/>
        <v>0.75</v>
      </c>
      <c r="P11" s="78"/>
      <c r="T11" s="5">
        <f t="shared" si="4"/>
        <v>0.75</v>
      </c>
      <c r="U11" s="107">
        <f xml:space="preserve"> 0.0002*R8^2 + 0.0287*R8 + 1.3509</f>
        <v>2.8189000000000002</v>
      </c>
      <c r="W11" s="6">
        <v>110</v>
      </c>
      <c r="X11" s="110">
        <v>0.96399999999999997</v>
      </c>
      <c r="Y11" s="110">
        <v>1.032</v>
      </c>
      <c r="Z11" s="12"/>
      <c r="AB11" s="27">
        <f t="shared" si="0"/>
        <v>110</v>
      </c>
      <c r="AC11" s="27" t="str">
        <f t="shared" si="1"/>
        <v/>
      </c>
      <c r="AL11" s="28">
        <f t="shared" si="2"/>
        <v>3.8491033000000008</v>
      </c>
      <c r="AM11" s="5">
        <f t="shared" si="5"/>
        <v>0.875</v>
      </c>
      <c r="AO11" s="28" t="str">
        <f t="shared" si="6"/>
        <v/>
      </c>
      <c r="AP11" s="11"/>
    </row>
    <row r="12" spans="1:43" x14ac:dyDescent="0.2">
      <c r="A12" s="5">
        <v>0.875</v>
      </c>
      <c r="B12" s="25">
        <v>0.83</v>
      </c>
      <c r="C12" s="25">
        <v>1.35</v>
      </c>
      <c r="D12" s="25">
        <v>2.08</v>
      </c>
      <c r="E12" s="25">
        <v>3.08</v>
      </c>
      <c r="F12" s="25">
        <v>4.3899999999999997</v>
      </c>
      <c r="G12" s="25">
        <v>5.76</v>
      </c>
      <c r="H12" s="25">
        <v>6.52</v>
      </c>
      <c r="I12" s="5">
        <f t="shared" si="7"/>
        <v>0.875</v>
      </c>
      <c r="J12" s="18">
        <v>6.7</v>
      </c>
      <c r="K12" s="25">
        <v>22.6</v>
      </c>
      <c r="M12" s="28">
        <f>IF(K12&gt;='R-410A_Calculator'!$D$9,'R-410A_Data'!K12,"")</f>
        <v>22.6</v>
      </c>
      <c r="N12" s="5">
        <f t="shared" si="3"/>
        <v>0.875</v>
      </c>
      <c r="T12" s="5">
        <f t="shared" si="4"/>
        <v>0.875</v>
      </c>
      <c r="U12" s="107">
        <f xml:space="preserve"> 0.0003*R8^2 + 0.0442*R8 + 2.0817</f>
        <v>4.3297000000000008</v>
      </c>
      <c r="W12" s="6">
        <v>120</v>
      </c>
      <c r="X12" s="110">
        <v>0.88900000000000001</v>
      </c>
      <c r="Y12" s="110">
        <v>1.0960000000000001</v>
      </c>
      <c r="Z12" s="12"/>
      <c r="AB12" s="27">
        <f t="shared" si="0"/>
        <v>120</v>
      </c>
      <c r="AC12" s="27">
        <f t="shared" si="1"/>
        <v>120</v>
      </c>
      <c r="AL12" s="28">
        <f t="shared" si="2"/>
        <v>7.9164561000000013</v>
      </c>
      <c r="AM12" s="5">
        <f t="shared" si="5"/>
        <v>1.125</v>
      </c>
      <c r="AO12" s="28" t="str">
        <f t="shared" si="6"/>
        <v/>
      </c>
      <c r="AP12" s="11"/>
    </row>
    <row r="13" spans="1:43" x14ac:dyDescent="0.2">
      <c r="A13" s="5">
        <v>1.125</v>
      </c>
      <c r="B13" s="25">
        <v>1.69</v>
      </c>
      <c r="C13" s="25">
        <v>2.74</v>
      </c>
      <c r="D13" s="25">
        <v>4.22</v>
      </c>
      <c r="E13" s="25">
        <v>6.23</v>
      </c>
      <c r="F13" s="25">
        <v>8.86</v>
      </c>
      <c r="G13" s="25">
        <v>11.64</v>
      </c>
      <c r="H13" s="25">
        <v>13.17</v>
      </c>
      <c r="I13" s="5">
        <f t="shared" si="7"/>
        <v>1.125</v>
      </c>
      <c r="J13" s="18">
        <v>11.4</v>
      </c>
      <c r="K13" s="25">
        <v>45.8</v>
      </c>
      <c r="M13" s="28">
        <f>IF(K13&gt;='R-410A_Calculator'!$D$9,'R-410A_Data'!K13,"")</f>
        <v>45.8</v>
      </c>
      <c r="N13" s="5">
        <f t="shared" si="3"/>
        <v>1.125</v>
      </c>
      <c r="T13" s="5">
        <f t="shared" si="4"/>
        <v>1.125</v>
      </c>
      <c r="U13" s="107">
        <f xml:space="preserve"> 0.0007*R8^2 + 0.0891*R8 + 4.2209</f>
        <v>8.9049000000000014</v>
      </c>
      <c r="W13" s="6">
        <v>130</v>
      </c>
      <c r="X13" s="110">
        <v>0.80800000000000005</v>
      </c>
      <c r="Y13" s="110">
        <v>1.1599999999999999</v>
      </c>
      <c r="Z13" s="12"/>
      <c r="AB13" s="27" t="str">
        <f t="shared" si="0"/>
        <v/>
      </c>
      <c r="AC13" s="27">
        <f t="shared" si="1"/>
        <v>130</v>
      </c>
      <c r="AG13" s="14"/>
      <c r="AL13" s="28">
        <f t="shared" si="2"/>
        <v>13.736828000000001</v>
      </c>
      <c r="AM13" s="5">
        <f t="shared" si="5"/>
        <v>1.375</v>
      </c>
      <c r="AO13" s="28">
        <v>13.74</v>
      </c>
      <c r="AP13" s="11"/>
    </row>
    <row r="14" spans="1:43" x14ac:dyDescent="0.2">
      <c r="A14" s="5">
        <v>1.375</v>
      </c>
      <c r="B14" s="25">
        <v>2.95</v>
      </c>
      <c r="C14" s="25">
        <v>4.78</v>
      </c>
      <c r="D14" s="25">
        <v>7.34</v>
      </c>
      <c r="E14" s="25">
        <v>10.82</v>
      </c>
      <c r="F14" s="25">
        <v>15.41</v>
      </c>
      <c r="G14" s="25">
        <v>20.21</v>
      </c>
      <c r="H14" s="25">
        <v>22.88</v>
      </c>
      <c r="I14" s="5">
        <f t="shared" si="7"/>
        <v>1.375</v>
      </c>
      <c r="J14" s="18">
        <v>17.399999999999999</v>
      </c>
      <c r="K14" s="25">
        <v>79.7</v>
      </c>
      <c r="M14" s="28">
        <f>IF(K14&gt;='R-410A_Calculator'!$D$9,'R-410A_Data'!K14,"")</f>
        <v>79.7</v>
      </c>
      <c r="N14" s="5">
        <f t="shared" si="3"/>
        <v>1.375</v>
      </c>
      <c r="T14" s="5">
        <f t="shared" si="4"/>
        <v>1.375</v>
      </c>
      <c r="U14" s="107">
        <f xml:space="preserve"> 0.0012*R8^2 + 0.1548*R8 + 7.34</f>
        <v>15.452</v>
      </c>
      <c r="Z14" s="12"/>
      <c r="AB14" s="4"/>
      <c r="AC14" s="4"/>
      <c r="AL14" s="28">
        <f t="shared" si="2"/>
        <v>21.572474</v>
      </c>
      <c r="AM14" s="5">
        <f t="shared" si="5"/>
        <v>1.625</v>
      </c>
      <c r="AO14" s="28">
        <f t="shared" si="6"/>
        <v>21.572474</v>
      </c>
      <c r="AP14" s="11"/>
    </row>
    <row r="15" spans="1:43" x14ac:dyDescent="0.2">
      <c r="A15" s="5">
        <v>1.625</v>
      </c>
      <c r="B15" s="25">
        <v>4.67</v>
      </c>
      <c r="C15" s="25">
        <v>7.56</v>
      </c>
      <c r="D15" s="25">
        <v>11.61</v>
      </c>
      <c r="E15" s="25">
        <v>17.14</v>
      </c>
      <c r="F15" s="25">
        <v>24.28</v>
      </c>
      <c r="G15" s="25">
        <v>31.92</v>
      </c>
      <c r="H15" s="25">
        <v>36.14</v>
      </c>
      <c r="I15" s="5">
        <f t="shared" si="7"/>
        <v>1.625</v>
      </c>
      <c r="J15" s="18">
        <v>24.6</v>
      </c>
      <c r="K15" s="25">
        <v>125.9</v>
      </c>
      <c r="M15" s="28">
        <f>IF(K15&gt;='R-410A_Calculator'!$D$9,'R-410A_Data'!K15,"")</f>
        <v>125.9</v>
      </c>
      <c r="N15" s="5">
        <f t="shared" si="3"/>
        <v>1.625</v>
      </c>
      <c r="T15" s="5">
        <f t="shared" si="4"/>
        <v>1.625</v>
      </c>
      <c r="U15" s="107">
        <f xml:space="preserve"> 0.0018*R8^2 + 0.244*R8 + 11.626</f>
        <v>24.265999999999998</v>
      </c>
      <c r="W15" s="4"/>
      <c r="X15" s="8"/>
      <c r="Y15" s="8"/>
      <c r="Z15" s="12"/>
      <c r="AB15" s="4"/>
      <c r="AC15" s="4"/>
      <c r="AL15" s="28">
        <f t="shared" si="2"/>
        <v>44.581571999999994</v>
      </c>
      <c r="AM15" s="5">
        <f t="shared" si="5"/>
        <v>2.125</v>
      </c>
      <c r="AO15" s="28">
        <f t="shared" si="6"/>
        <v>44.581571999999994</v>
      </c>
      <c r="AP15" s="11"/>
    </row>
    <row r="16" spans="1:43" x14ac:dyDescent="0.2">
      <c r="A16" s="5">
        <v>2.125</v>
      </c>
      <c r="B16" s="25">
        <v>9.7100000000000009</v>
      </c>
      <c r="C16" s="25">
        <v>15.71</v>
      </c>
      <c r="D16" s="25">
        <v>24.05</v>
      </c>
      <c r="E16" s="25">
        <v>35.450000000000003</v>
      </c>
      <c r="F16" s="25">
        <v>50.19</v>
      </c>
      <c r="G16" s="25">
        <v>65.88</v>
      </c>
      <c r="H16" s="25">
        <v>75.569999999999993</v>
      </c>
      <c r="I16" s="5">
        <f t="shared" si="7"/>
        <v>2.125</v>
      </c>
      <c r="J16" s="18">
        <v>42.8</v>
      </c>
      <c r="K16" s="25">
        <v>260.7</v>
      </c>
      <c r="M16" s="28">
        <f>IF(K16&gt;='R-410A_Calculator'!$D$9,'R-410A_Data'!K16,"")</f>
        <v>260.7</v>
      </c>
      <c r="N16" s="5">
        <f t="shared" si="3"/>
        <v>2.125</v>
      </c>
      <c r="P16" s="74"/>
      <c r="T16" s="5">
        <f t="shared" si="4"/>
        <v>2.125</v>
      </c>
      <c r="U16" s="107">
        <f xml:space="preserve"> 0.0037*R8^2 + 0.5035*R8 + 24.088</f>
        <v>50.147999999999996</v>
      </c>
      <c r="Z16" s="12"/>
      <c r="AL16" s="28">
        <f t="shared" si="2"/>
        <v>78.424913000000018</v>
      </c>
      <c r="AM16" s="5">
        <f t="shared" si="5"/>
        <v>2.625</v>
      </c>
      <c r="AO16" s="28">
        <f t="shared" si="6"/>
        <v>78.424913000000018</v>
      </c>
      <c r="AP16" s="11"/>
    </row>
    <row r="17" spans="1:42" x14ac:dyDescent="0.2">
      <c r="A17" s="5">
        <v>2.625</v>
      </c>
      <c r="B17" s="25">
        <v>17.170000000000002</v>
      </c>
      <c r="C17" s="25">
        <v>27.74</v>
      </c>
      <c r="D17" s="25">
        <v>42.45</v>
      </c>
      <c r="E17" s="25">
        <v>62.53</v>
      </c>
      <c r="F17" s="25">
        <v>88.43</v>
      </c>
      <c r="G17" s="25">
        <v>115.9</v>
      </c>
      <c r="H17" s="25">
        <v>131.19999999999999</v>
      </c>
      <c r="I17" s="5">
        <f t="shared" si="7"/>
        <v>2.625</v>
      </c>
      <c r="J17" s="18">
        <v>66</v>
      </c>
      <c r="K17" s="25">
        <v>459.7</v>
      </c>
      <c r="M17" s="28">
        <f>IF(K17&gt;='R-410A_Calculator'!$D$9,'R-410A_Data'!K17,"")</f>
        <v>459.7</v>
      </c>
      <c r="N17" s="5">
        <f t="shared" si="3"/>
        <v>2.625</v>
      </c>
      <c r="T17" s="5">
        <f t="shared" si="4"/>
        <v>2.625</v>
      </c>
      <c r="U17" s="107">
        <f xml:space="preserve"> 0.0064*R8^2 + 0.8865*R8 + 42.517</f>
        <v>88.217000000000013</v>
      </c>
      <c r="Z17" s="12"/>
      <c r="AL17" s="28">
        <f t="shared" si="2"/>
        <v>124.920502</v>
      </c>
      <c r="AM17" s="5">
        <f t="shared" si="5"/>
        <v>3.125</v>
      </c>
      <c r="AO17" s="28">
        <f t="shared" si="6"/>
        <v>124.920502</v>
      </c>
      <c r="AP17" s="11"/>
    </row>
    <row r="18" spans="1:42" x14ac:dyDescent="0.2">
      <c r="A18" s="5">
        <v>3.125</v>
      </c>
      <c r="B18" s="25">
        <v>27.44</v>
      </c>
      <c r="C18" s="25">
        <v>44.24</v>
      </c>
      <c r="D18" s="25">
        <v>67.77</v>
      </c>
      <c r="E18" s="25">
        <v>99.53</v>
      </c>
      <c r="F18" s="25">
        <v>140.83000000000001</v>
      </c>
      <c r="G18" s="25">
        <v>184.62</v>
      </c>
      <c r="H18" s="25">
        <v>208.98</v>
      </c>
      <c r="I18" s="5">
        <f t="shared" si="7"/>
        <v>3.125</v>
      </c>
      <c r="J18" s="18">
        <v>94.2</v>
      </c>
      <c r="K18" s="25">
        <v>733</v>
      </c>
      <c r="M18" s="28">
        <f>IF(K18&gt;='R-410A_Calculator'!$D$9,'R-410A_Data'!K18,"")</f>
        <v>733</v>
      </c>
      <c r="N18" s="5">
        <f t="shared" si="3"/>
        <v>3.125</v>
      </c>
      <c r="T18" s="5">
        <f t="shared" si="4"/>
        <v>3.125</v>
      </c>
      <c r="U18" s="107">
        <f xml:space="preserve"> 0.0102*R8^2 + 1.4103*R8 + 67.786</f>
        <v>140.518</v>
      </c>
      <c r="Z18" s="12"/>
      <c r="AL18" s="28">
        <f t="shared" si="2"/>
        <v>185.153808</v>
      </c>
      <c r="AM18" s="5">
        <f t="shared" si="5"/>
        <v>3.625</v>
      </c>
      <c r="AO18" s="28">
        <f t="shared" si="6"/>
        <v>185.153808</v>
      </c>
      <c r="AP18" s="11"/>
    </row>
    <row r="19" spans="1:42" x14ac:dyDescent="0.2">
      <c r="A19" s="5">
        <v>3.625</v>
      </c>
      <c r="B19" s="25">
        <v>40.840000000000003</v>
      </c>
      <c r="C19" s="25">
        <v>65.81</v>
      </c>
      <c r="D19" s="25">
        <v>100.5</v>
      </c>
      <c r="E19" s="25">
        <v>147.66</v>
      </c>
      <c r="F19" s="25">
        <v>208.65</v>
      </c>
      <c r="G19" s="25">
        <v>273.54000000000002</v>
      </c>
      <c r="H19" s="25">
        <v>309.64</v>
      </c>
      <c r="I19" s="5">
        <f t="shared" si="7"/>
        <v>3.625</v>
      </c>
      <c r="J19" s="18">
        <v>127.4</v>
      </c>
      <c r="K19" s="25">
        <v>1087.5</v>
      </c>
      <c r="M19" s="28">
        <f>IF(K19&gt;='R-410A_Calculator'!$D$9,'R-410A_Data'!K19,"")</f>
        <v>1087.5</v>
      </c>
      <c r="N19" s="5">
        <f t="shared" si="3"/>
        <v>3.625</v>
      </c>
      <c r="T19" s="5">
        <f t="shared" si="4"/>
        <v>3.625</v>
      </c>
      <c r="U19" s="107">
        <f xml:space="preserve"> 0.0151*R8^2 + 2.0873*R8 + 100.62</f>
        <v>208.27199999999999</v>
      </c>
      <c r="Z19" s="12"/>
      <c r="AL19" s="28">
        <f t="shared" si="2"/>
        <v>260.75259000000005</v>
      </c>
      <c r="AM19" s="5">
        <f t="shared" si="5"/>
        <v>4.125</v>
      </c>
      <c r="AO19" s="28">
        <f t="shared" si="6"/>
        <v>260.75259000000005</v>
      </c>
      <c r="AP19" s="11"/>
    </row>
    <row r="20" spans="1:42" x14ac:dyDescent="0.2">
      <c r="A20" s="5">
        <v>4.125</v>
      </c>
      <c r="B20" s="25">
        <v>57.58</v>
      </c>
      <c r="C20" s="25">
        <v>92.66</v>
      </c>
      <c r="D20" s="25">
        <v>141.61000000000001</v>
      </c>
      <c r="E20" s="25">
        <v>208.22</v>
      </c>
      <c r="F20" s="25">
        <v>293.7</v>
      </c>
      <c r="G20" s="25">
        <v>385.08</v>
      </c>
      <c r="H20" s="25">
        <v>435.9</v>
      </c>
      <c r="I20" s="5">
        <f t="shared" si="7"/>
        <v>4.125</v>
      </c>
      <c r="J20" s="18">
        <v>165.7</v>
      </c>
      <c r="K20" s="25">
        <v>1530.2</v>
      </c>
      <c r="M20" s="28">
        <f>IF(K20&gt;='R-410A_Calculator'!$D$9,'R-410A_Data'!K20,"")</f>
        <v>1530.2</v>
      </c>
      <c r="N20" s="5">
        <f t="shared" si="3"/>
        <v>4.125</v>
      </c>
      <c r="T20" s="5">
        <f t="shared" si="4"/>
        <v>4.125</v>
      </c>
      <c r="U20" s="107">
        <f xml:space="preserve"> 0.0212*R8^2 + 2.939*R8 + 141.83</f>
        <v>293.31000000000006</v>
      </c>
      <c r="Z20" s="12"/>
      <c r="AL20" s="28">
        <f t="shared" si="2"/>
        <v>464.30869799999994</v>
      </c>
      <c r="AM20" s="5">
        <f t="shared" si="5"/>
        <v>5.125</v>
      </c>
      <c r="AO20" s="28">
        <f t="shared" si="6"/>
        <v>464.30869799999994</v>
      </c>
    </row>
    <row r="21" spans="1:42" x14ac:dyDescent="0.2">
      <c r="A21" s="5">
        <v>5.125</v>
      </c>
      <c r="B21" s="109">
        <v>103.03</v>
      </c>
      <c r="C21" s="25">
        <v>165.73</v>
      </c>
      <c r="D21" s="25">
        <v>253.05</v>
      </c>
      <c r="E21" s="25">
        <v>370.82</v>
      </c>
      <c r="F21" s="25">
        <v>523.21</v>
      </c>
      <c r="G21" s="25">
        <v>686.18</v>
      </c>
      <c r="H21" s="25">
        <v>776.72</v>
      </c>
      <c r="I21" s="5">
        <f t="shared" si="7"/>
        <v>5.125</v>
      </c>
      <c r="J21" s="18">
        <v>258.2</v>
      </c>
      <c r="K21" s="25">
        <v>2729.8</v>
      </c>
      <c r="M21" s="28">
        <f>IF(K21&gt;='R-410A_Calculator'!$D$9,'R-410A_Data'!K21,"")</f>
        <v>2729.8</v>
      </c>
      <c r="N21" s="5">
        <f t="shared" si="3"/>
        <v>5.125</v>
      </c>
      <c r="T21" s="5">
        <f t="shared" si="4"/>
        <v>5.125</v>
      </c>
      <c r="U21" s="107">
        <f xml:space="preserve"> 0.0375*R8^2 + 5.2273*R8 + 253.19</f>
        <v>522.28199999999993</v>
      </c>
      <c r="Z21" s="12"/>
      <c r="AL21" s="28">
        <f t="shared" si="2"/>
        <v>745.23803199999998</v>
      </c>
      <c r="AM21" s="5">
        <f t="shared" si="5"/>
        <v>6.125</v>
      </c>
      <c r="AO21" s="28">
        <f t="shared" si="6"/>
        <v>745.23803199999998</v>
      </c>
    </row>
    <row r="22" spans="1:42" x14ac:dyDescent="0.2">
      <c r="A22" s="5">
        <v>6.125</v>
      </c>
      <c r="B22" s="25">
        <v>166</v>
      </c>
      <c r="C22" s="25">
        <v>266.14</v>
      </c>
      <c r="D22" s="25">
        <v>405.75</v>
      </c>
      <c r="E22" s="25">
        <v>594.85</v>
      </c>
      <c r="F22" s="25">
        <v>839.82</v>
      </c>
      <c r="G22" s="25">
        <v>1099.0999999999999</v>
      </c>
      <c r="H22" s="25">
        <v>1244.1300000000001</v>
      </c>
      <c r="I22" s="5">
        <f t="shared" si="7"/>
        <v>6.125</v>
      </c>
      <c r="J22" s="18">
        <v>371.1</v>
      </c>
      <c r="K22" s="25">
        <v>4383.7</v>
      </c>
      <c r="M22" s="28">
        <f>IF(K22&gt;='R-410A_Calculator'!$D$9,'R-410A_Data'!K22,"")</f>
        <v>4383.7</v>
      </c>
      <c r="N22" s="5">
        <f t="shared" si="3"/>
        <v>6.125</v>
      </c>
      <c r="T22" s="5">
        <f t="shared" si="4"/>
        <v>6.125</v>
      </c>
      <c r="U22" s="107">
        <f xml:space="preserve"> 0.0606*R8^2 + 8.3817*R8 + 406.06</f>
        <v>838.28800000000001</v>
      </c>
      <c r="Z22" s="12"/>
      <c r="AL22" s="28">
        <f>$AG$8*U23</f>
        <v>1537.8811000000001</v>
      </c>
      <c r="AM22" s="5">
        <f>A23</f>
        <v>8.125</v>
      </c>
      <c r="AO22" s="28">
        <f t="shared" si="6"/>
        <v>1537.8811000000001</v>
      </c>
    </row>
    <row r="23" spans="1:42" x14ac:dyDescent="0.2">
      <c r="A23" s="5">
        <v>8.125</v>
      </c>
      <c r="B23" s="25">
        <v>344.31</v>
      </c>
      <c r="C23" s="25">
        <v>551.73</v>
      </c>
      <c r="D23" s="25">
        <v>840.04</v>
      </c>
      <c r="E23" s="25">
        <v>1229.69</v>
      </c>
      <c r="F23" s="25">
        <v>1733.02</v>
      </c>
      <c r="G23" s="25">
        <v>2268.62</v>
      </c>
      <c r="H23" s="25">
        <v>2567.98</v>
      </c>
      <c r="I23" s="5">
        <f t="shared" si="7"/>
        <v>8.125</v>
      </c>
      <c r="J23" s="18">
        <v>648.29999999999995</v>
      </c>
      <c r="K23" s="25">
        <v>9049.5</v>
      </c>
      <c r="M23" s="28">
        <f>IF(K23&gt;='R-410A_Calculator'!$D$9,'R-410A_Data'!K23,"")</f>
        <v>9049.5</v>
      </c>
      <c r="N23" s="5">
        <f t="shared" si="3"/>
        <v>8.125</v>
      </c>
      <c r="T23" s="5">
        <f t="shared" si="4"/>
        <v>8.125</v>
      </c>
      <c r="U23" s="107">
        <f xml:space="preserve"> 0.1238*R8^2 + 17.277*R8 + 840.74</f>
        <v>1729.9</v>
      </c>
      <c r="Z23" s="12"/>
      <c r="AL23" s="34"/>
      <c r="AM23" s="7"/>
      <c r="AO23" s="34"/>
    </row>
    <row r="24" spans="1:42" x14ac:dyDescent="0.2">
      <c r="A24" s="7"/>
      <c r="B24" s="34"/>
      <c r="C24" s="34"/>
      <c r="D24" s="34"/>
      <c r="E24" s="34"/>
      <c r="F24" s="34"/>
      <c r="G24" s="34"/>
      <c r="H24" s="34"/>
      <c r="I24" s="7"/>
      <c r="J24" s="4"/>
      <c r="K24" s="4"/>
      <c r="O24" s="7"/>
      <c r="P24" s="34"/>
      <c r="U24" s="12"/>
    </row>
    <row r="25" spans="1:42" x14ac:dyDescent="0.2">
      <c r="A25" s="272" t="s">
        <v>47</v>
      </c>
      <c r="B25" s="272"/>
      <c r="C25" s="77">
        <v>100</v>
      </c>
      <c r="D25" s="273" t="s">
        <v>48</v>
      </c>
      <c r="E25" s="273"/>
      <c r="F25" s="273"/>
      <c r="G25" s="34"/>
      <c r="H25" s="34"/>
      <c r="I25" s="7"/>
      <c r="J25" s="4"/>
      <c r="K25" s="4"/>
      <c r="O25" s="7"/>
      <c r="P25" s="34"/>
      <c r="U25" s="12"/>
      <c r="W25" s="245" t="s">
        <v>226</v>
      </c>
      <c r="X25" s="245"/>
    </row>
    <row r="26" spans="1:42" ht="12.75" customHeight="1" x14ac:dyDescent="0.2">
      <c r="A26" s="272" t="s">
        <v>49</v>
      </c>
      <c r="B26" s="272"/>
      <c r="C26" s="77">
        <v>2</v>
      </c>
      <c r="D26" s="76" t="s">
        <v>12</v>
      </c>
      <c r="E26" s="34"/>
      <c r="F26" s="34"/>
      <c r="G26" s="34"/>
      <c r="H26" s="34"/>
      <c r="I26" s="7"/>
      <c r="J26" s="4"/>
      <c r="K26" s="4"/>
      <c r="O26" s="7"/>
      <c r="P26" s="34"/>
      <c r="U26" s="12"/>
      <c r="W26" s="252" t="s">
        <v>142</v>
      </c>
      <c r="X26" s="252"/>
      <c r="Z26" s="249" t="s">
        <v>162</v>
      </c>
      <c r="AA26" s="249"/>
      <c r="AB26" s="249" t="s">
        <v>163</v>
      </c>
      <c r="AC26" s="103"/>
      <c r="AD26" s="245" t="s">
        <v>164</v>
      </c>
      <c r="AE26" s="245"/>
      <c r="AF26" s="245"/>
      <c r="AG26" s="245"/>
      <c r="AI26" s="245" t="s">
        <v>202</v>
      </c>
      <c r="AJ26" s="245"/>
      <c r="AK26" s="245"/>
      <c r="AL26" s="245"/>
    </row>
    <row r="27" spans="1:42" x14ac:dyDescent="0.2">
      <c r="A27" s="272" t="s">
        <v>95</v>
      </c>
      <c r="B27" s="272"/>
      <c r="C27" s="77">
        <v>1</v>
      </c>
      <c r="D27" s="76" t="s">
        <v>12</v>
      </c>
      <c r="E27" s="34"/>
      <c r="F27" s="34"/>
      <c r="G27" s="34"/>
      <c r="H27" s="34"/>
      <c r="I27" s="7"/>
      <c r="J27" s="4"/>
      <c r="K27" s="4"/>
      <c r="O27" s="7"/>
      <c r="P27" s="34"/>
      <c r="U27" s="12"/>
      <c r="W27" s="252"/>
      <c r="X27" s="252"/>
      <c r="Z27" s="249"/>
      <c r="AA27" s="249"/>
      <c r="AB27" s="249"/>
      <c r="AC27" s="104"/>
      <c r="AD27" s="246" t="s">
        <v>158</v>
      </c>
      <c r="AE27" s="248" t="s">
        <v>159</v>
      </c>
      <c r="AF27" s="248" t="s">
        <v>160</v>
      </c>
      <c r="AG27" s="248" t="s">
        <v>161</v>
      </c>
      <c r="AI27" s="246" t="s">
        <v>203</v>
      </c>
      <c r="AJ27" s="248" t="s">
        <v>204</v>
      </c>
      <c r="AK27" s="248" t="s">
        <v>205</v>
      </c>
      <c r="AL27" s="248" t="s">
        <v>206</v>
      </c>
    </row>
    <row r="28" spans="1:42" ht="11.25" customHeight="1" x14ac:dyDescent="0.2">
      <c r="A28" s="272" t="s">
        <v>155</v>
      </c>
      <c r="B28" s="272"/>
      <c r="C28" s="77">
        <v>1</v>
      </c>
      <c r="D28" s="76" t="s">
        <v>12</v>
      </c>
      <c r="E28" s="34"/>
      <c r="F28" s="34"/>
      <c r="G28" s="34"/>
      <c r="H28" s="34"/>
      <c r="I28" s="7"/>
      <c r="J28" s="4"/>
      <c r="K28" s="4"/>
      <c r="O28" s="7"/>
      <c r="P28" s="34"/>
      <c r="U28" s="12"/>
      <c r="W28" s="252" t="s">
        <v>5</v>
      </c>
      <c r="X28" s="252"/>
      <c r="Y28" s="84" t="s">
        <v>11</v>
      </c>
      <c r="Z28" s="257" t="s">
        <v>158</v>
      </c>
      <c r="AA28" s="257"/>
      <c r="AB28" s="250" t="s">
        <v>158</v>
      </c>
      <c r="AC28" s="252" t="s">
        <v>2</v>
      </c>
      <c r="AD28" s="247"/>
      <c r="AE28" s="248"/>
      <c r="AF28" s="248"/>
      <c r="AG28" s="248"/>
      <c r="AI28" s="247"/>
      <c r="AJ28" s="248"/>
      <c r="AK28" s="248"/>
      <c r="AL28" s="248"/>
    </row>
    <row r="29" spans="1:42" x14ac:dyDescent="0.2">
      <c r="A29" s="272" t="s">
        <v>156</v>
      </c>
      <c r="B29" s="272"/>
      <c r="C29" s="102">
        <v>4.75</v>
      </c>
      <c r="D29" s="100" t="s">
        <v>100</v>
      </c>
      <c r="E29" s="34"/>
      <c r="F29" s="34"/>
      <c r="G29" s="34"/>
      <c r="H29" s="34"/>
      <c r="I29" s="7"/>
      <c r="J29" s="4"/>
      <c r="K29" s="4"/>
      <c r="O29" s="7"/>
      <c r="P29" s="34"/>
      <c r="U29" s="12"/>
      <c r="W29" s="252"/>
      <c r="X29" s="252"/>
      <c r="Y29" s="26" t="s">
        <v>12</v>
      </c>
      <c r="Z29" s="257"/>
      <c r="AA29" s="257"/>
      <c r="AB29" s="251"/>
      <c r="AC29" s="252"/>
      <c r="AD29" s="19" t="s">
        <v>9</v>
      </c>
      <c r="AE29" s="248"/>
      <c r="AF29" s="248"/>
      <c r="AG29" s="248"/>
      <c r="AI29" s="19" t="s">
        <v>9</v>
      </c>
      <c r="AJ29" s="248"/>
      <c r="AK29" s="248"/>
      <c r="AL29" s="248"/>
    </row>
    <row r="30" spans="1:42" x14ac:dyDescent="0.2">
      <c r="W30" s="16">
        <v>-40</v>
      </c>
      <c r="X30" s="16">
        <v>40</v>
      </c>
      <c r="Y30" s="94">
        <f>'R-410A_Calculator'!D12</f>
        <v>40</v>
      </c>
      <c r="Z30" s="256" t="s">
        <v>9</v>
      </c>
      <c r="AA30" s="256"/>
      <c r="AB30" s="29" t="s">
        <v>9</v>
      </c>
      <c r="AC30" s="252"/>
      <c r="AD30" s="13">
        <f>'R-410A_Calculator'!D9</f>
        <v>17.8</v>
      </c>
      <c r="AE30" s="248"/>
      <c r="AF30" s="248"/>
      <c r="AG30" s="248"/>
      <c r="AI30" s="13">
        <f>'R-410A_Calculator'!E62/3</f>
        <v>1.4833333333333334</v>
      </c>
      <c r="AJ30" s="248"/>
      <c r="AK30" s="248"/>
      <c r="AL30" s="248"/>
    </row>
    <row r="31" spans="1:42" x14ac:dyDescent="0.2">
      <c r="W31" s="25">
        <f>G9</f>
        <v>1.17</v>
      </c>
      <c r="X31" s="25">
        <f>H9</f>
        <v>1.33</v>
      </c>
      <c r="Z31" s="253">
        <f xml:space="preserve"> 0.002*Y30 + 1.25</f>
        <v>1.33</v>
      </c>
      <c r="AA31" s="254"/>
      <c r="AB31" s="28">
        <f>$AH$8*Z31</f>
        <v>1.4576800000000001</v>
      </c>
      <c r="AC31" s="5">
        <f>A9</f>
        <v>0.5</v>
      </c>
      <c r="AE31" s="101" t="str">
        <f>IF(AB31&gt;=$AD$30,AB31,"")</f>
        <v/>
      </c>
      <c r="AF31" s="28">
        <f>MIN(AE31:AE44)</f>
        <v>25.077576000000001</v>
      </c>
      <c r="AG31" s="35">
        <f>VLOOKUP(AF31,AB31:AC44,2)</f>
        <v>1.375</v>
      </c>
      <c r="AJ31" s="101" t="str">
        <f>IF(AB31&gt;=$AI$30,AB31,"")</f>
        <v/>
      </c>
      <c r="AK31" s="28">
        <f>MIN(AJ31:AJ40)</f>
        <v>2.7279440000000004</v>
      </c>
      <c r="AL31" s="35">
        <f>VLOOKUP(AK31,AB31:AC44,2)</f>
        <v>0.625</v>
      </c>
    </row>
    <row r="32" spans="1:42" x14ac:dyDescent="0.2">
      <c r="W32" s="25">
        <f t="shared" ref="W32:W44" si="8">G10</f>
        <v>2.2000000000000002</v>
      </c>
      <c r="X32" s="25">
        <f t="shared" ref="X32:X44" si="9">H10</f>
        <v>2.4900000000000002</v>
      </c>
      <c r="Z32" s="253">
        <f xml:space="preserve"> 0.0036*Y30 + 2.345</f>
        <v>2.4890000000000003</v>
      </c>
      <c r="AA32" s="254"/>
      <c r="AB32" s="28">
        <f t="shared" ref="AB32:AB44" si="10">$AH$8*Z32</f>
        <v>2.7279440000000004</v>
      </c>
      <c r="AC32" s="5">
        <f t="shared" ref="AC32:AC44" si="11">A10</f>
        <v>0.625</v>
      </c>
      <c r="AE32" s="101" t="str">
        <f t="shared" ref="AE32:AE44" si="12">IF(AB32&gt;=$AD$30,AB32,"")</f>
        <v/>
      </c>
      <c r="AF32" s="11"/>
      <c r="AJ32" s="101">
        <f t="shared" ref="AJ32:AJ44" si="13">IF(AB32&gt;=$AI$30,AB32,"")</f>
        <v>2.7279440000000004</v>
      </c>
      <c r="AK32" s="11"/>
    </row>
    <row r="33" spans="1:37" x14ac:dyDescent="0.2">
      <c r="W33" s="25">
        <f t="shared" si="8"/>
        <v>3.74</v>
      </c>
      <c r="X33" s="25">
        <f t="shared" si="9"/>
        <v>4.2300000000000004</v>
      </c>
      <c r="Z33" s="253">
        <f xml:space="preserve"> 0.0061*Y30 + 3.985</f>
        <v>4.2290000000000001</v>
      </c>
      <c r="AA33" s="254"/>
      <c r="AB33" s="28">
        <f t="shared" si="10"/>
        <v>4.6349840000000002</v>
      </c>
      <c r="AC33" s="5">
        <f t="shared" si="11"/>
        <v>0.75</v>
      </c>
      <c r="AE33" s="101" t="str">
        <f t="shared" si="12"/>
        <v/>
      </c>
      <c r="AF33" s="11"/>
      <c r="AJ33" s="101">
        <f t="shared" si="13"/>
        <v>4.6349840000000002</v>
      </c>
      <c r="AK33" s="11"/>
    </row>
    <row r="34" spans="1:37" ht="11.25" customHeight="1" x14ac:dyDescent="0.2">
      <c r="W34" s="25">
        <f t="shared" si="8"/>
        <v>5.76</v>
      </c>
      <c r="X34" s="25">
        <f t="shared" si="9"/>
        <v>6.52</v>
      </c>
      <c r="Z34" s="253">
        <f xml:space="preserve"> 0.0095*Y30 + 6.14</f>
        <v>6.52</v>
      </c>
      <c r="AA34" s="254"/>
      <c r="AB34" s="28">
        <f t="shared" si="10"/>
        <v>7.1459200000000003</v>
      </c>
      <c r="AC34" s="5">
        <f t="shared" si="11"/>
        <v>0.875</v>
      </c>
      <c r="AE34" s="101" t="str">
        <f t="shared" si="12"/>
        <v/>
      </c>
      <c r="AF34" s="11"/>
      <c r="AJ34" s="101">
        <f t="shared" si="13"/>
        <v>7.1459200000000003</v>
      </c>
      <c r="AK34" s="11"/>
    </row>
    <row r="35" spans="1:37" ht="11.25" customHeight="1" x14ac:dyDescent="0.2">
      <c r="A35" s="269" t="s">
        <v>232</v>
      </c>
      <c r="B35" s="270"/>
      <c r="C35" s="271"/>
      <c r="W35" s="25">
        <f t="shared" si="8"/>
        <v>11.64</v>
      </c>
      <c r="X35" s="25">
        <f t="shared" si="9"/>
        <v>13.17</v>
      </c>
      <c r="Z35" s="253">
        <f xml:space="preserve"> 0.0191*Y30 + 12.405</f>
        <v>13.168999999999999</v>
      </c>
      <c r="AA35" s="254"/>
      <c r="AB35" s="28">
        <f t="shared" si="10"/>
        <v>14.433223999999999</v>
      </c>
      <c r="AC35" s="5">
        <f t="shared" si="11"/>
        <v>1.125</v>
      </c>
      <c r="AE35" s="101" t="str">
        <f t="shared" si="12"/>
        <v/>
      </c>
      <c r="AF35" s="11"/>
      <c r="AJ35" s="101">
        <f t="shared" si="13"/>
        <v>14.433223999999999</v>
      </c>
      <c r="AK35" s="11"/>
    </row>
    <row r="36" spans="1:37" x14ac:dyDescent="0.2">
      <c r="A36" s="134" t="s">
        <v>233</v>
      </c>
      <c r="B36" s="134" t="s">
        <v>234</v>
      </c>
      <c r="C36" s="134" t="s">
        <v>235</v>
      </c>
      <c r="W36" s="25">
        <f t="shared" si="8"/>
        <v>20.21</v>
      </c>
      <c r="X36" s="25">
        <f t="shared" si="9"/>
        <v>22.88</v>
      </c>
      <c r="Z36" s="253">
        <f xml:space="preserve"> 0.0334*Y30 + 21.545</f>
        <v>22.881</v>
      </c>
      <c r="AA36" s="254"/>
      <c r="AB36" s="28">
        <f t="shared" si="10"/>
        <v>25.077576000000001</v>
      </c>
      <c r="AC36" s="5">
        <f t="shared" si="11"/>
        <v>1.375</v>
      </c>
      <c r="AE36" s="101">
        <f t="shared" si="12"/>
        <v>25.077576000000001</v>
      </c>
      <c r="AF36" s="11"/>
      <c r="AJ36" s="101">
        <f t="shared" si="13"/>
        <v>25.077576000000001</v>
      </c>
      <c r="AK36" s="11"/>
    </row>
    <row r="37" spans="1:37" x14ac:dyDescent="0.2">
      <c r="A37" s="5">
        <v>0.5</v>
      </c>
      <c r="B37" s="82">
        <v>0.43</v>
      </c>
      <c r="C37" s="82">
        <f>(B37/2)^2*PI()/144</f>
        <v>1.0084730584179735E-3</v>
      </c>
      <c r="W37" s="25">
        <f t="shared" si="8"/>
        <v>31.92</v>
      </c>
      <c r="X37" s="25">
        <f t="shared" si="9"/>
        <v>36.14</v>
      </c>
      <c r="Z37" s="253">
        <f xml:space="preserve"> 0.0527*Y30 + 34.03</f>
        <v>36.137999999999998</v>
      </c>
      <c r="AA37" s="254"/>
      <c r="AB37" s="28">
        <f t="shared" si="10"/>
        <v>39.607247999999998</v>
      </c>
      <c r="AC37" s="5">
        <f t="shared" si="11"/>
        <v>1.625</v>
      </c>
      <c r="AE37" s="101">
        <f t="shared" si="12"/>
        <v>39.607247999999998</v>
      </c>
      <c r="AF37" s="11"/>
      <c r="AJ37" s="101">
        <f t="shared" si="13"/>
        <v>39.607247999999998</v>
      </c>
      <c r="AK37" s="11"/>
    </row>
    <row r="38" spans="1:37" x14ac:dyDescent="0.2">
      <c r="A38" s="5">
        <v>0.625</v>
      </c>
      <c r="B38" s="82">
        <v>0.54500000000000004</v>
      </c>
      <c r="C38" s="82">
        <f t="shared" ref="C38:C51" si="14">(B38/2)^2*PI()/144</f>
        <v>1.6200200658550495E-3</v>
      </c>
      <c r="W38" s="25">
        <f t="shared" si="8"/>
        <v>65.88</v>
      </c>
      <c r="X38" s="25">
        <f t="shared" si="9"/>
        <v>75.569999999999993</v>
      </c>
      <c r="Z38" s="253">
        <f xml:space="preserve"> 0.1211*Y30 + 70.725</f>
        <v>75.568999999999988</v>
      </c>
      <c r="AA38" s="254"/>
      <c r="AB38" s="28">
        <f t="shared" si="10"/>
        <v>82.823623999999995</v>
      </c>
      <c r="AC38" s="5">
        <f t="shared" si="11"/>
        <v>2.125</v>
      </c>
      <c r="AE38" s="101">
        <f t="shared" si="12"/>
        <v>82.823623999999995</v>
      </c>
      <c r="AF38" s="11"/>
      <c r="AJ38" s="101">
        <f t="shared" si="13"/>
        <v>82.823623999999995</v>
      </c>
      <c r="AK38" s="11"/>
    </row>
    <row r="39" spans="1:37" x14ac:dyDescent="0.2">
      <c r="A39" s="5">
        <v>0.75</v>
      </c>
      <c r="B39" s="82">
        <v>0.66600000000000004</v>
      </c>
      <c r="C39" s="82">
        <f t="shared" si="14"/>
        <v>2.4192226928049904E-3</v>
      </c>
      <c r="W39" s="25">
        <f t="shared" si="8"/>
        <v>115.9</v>
      </c>
      <c r="X39" s="25">
        <f t="shared" si="9"/>
        <v>131.19999999999999</v>
      </c>
      <c r="Z39" s="253">
        <f xml:space="preserve"> 0.1913*Y30 + 123.55</f>
        <v>131.202</v>
      </c>
      <c r="AA39" s="254"/>
      <c r="AB39" s="28">
        <f t="shared" si="10"/>
        <v>143.797392</v>
      </c>
      <c r="AC39" s="5">
        <f t="shared" si="11"/>
        <v>2.625</v>
      </c>
      <c r="AE39" s="101">
        <f t="shared" si="12"/>
        <v>143.797392</v>
      </c>
      <c r="AF39" s="11"/>
      <c r="AJ39" s="101">
        <f t="shared" si="13"/>
        <v>143.797392</v>
      </c>
      <c r="AK39" s="11"/>
    </row>
    <row r="40" spans="1:37" x14ac:dyDescent="0.2">
      <c r="A40" s="5">
        <v>0.875</v>
      </c>
      <c r="B40" s="82">
        <v>0.78500000000000003</v>
      </c>
      <c r="C40" s="82">
        <f t="shared" si="14"/>
        <v>3.3609859947193927E-3</v>
      </c>
      <c r="W40" s="25">
        <f t="shared" si="8"/>
        <v>184.62</v>
      </c>
      <c r="X40" s="25">
        <f t="shared" si="9"/>
        <v>208.98</v>
      </c>
      <c r="Z40" s="253">
        <f xml:space="preserve"> 0.3045*Y30 + 196.8</f>
        <v>208.98000000000002</v>
      </c>
      <c r="AA40" s="254"/>
      <c r="AB40" s="28">
        <f t="shared" si="10"/>
        <v>229.04208000000003</v>
      </c>
      <c r="AC40" s="5">
        <f t="shared" si="11"/>
        <v>3.125</v>
      </c>
      <c r="AE40" s="101">
        <f t="shared" si="12"/>
        <v>229.04208000000003</v>
      </c>
      <c r="AF40" s="11"/>
      <c r="AJ40" s="101">
        <f t="shared" si="13"/>
        <v>229.04208000000003</v>
      </c>
      <c r="AK40" s="11"/>
    </row>
    <row r="41" spans="1:37" x14ac:dyDescent="0.2">
      <c r="A41" s="5">
        <v>1.125</v>
      </c>
      <c r="B41" s="82">
        <v>1.0249999999999999</v>
      </c>
      <c r="C41" s="82">
        <f t="shared" si="14"/>
        <v>5.7302704543016943E-3</v>
      </c>
      <c r="W41" s="25">
        <f t="shared" si="8"/>
        <v>273.54000000000002</v>
      </c>
      <c r="X41" s="25">
        <f t="shared" si="9"/>
        <v>309.64</v>
      </c>
      <c r="Z41" s="253">
        <f xml:space="preserve"> 0.4512*Y30 + 291.59</f>
        <v>309.63799999999998</v>
      </c>
      <c r="AA41" s="254"/>
      <c r="AB41" s="28">
        <f t="shared" si="10"/>
        <v>339.363248</v>
      </c>
      <c r="AC41" s="5">
        <f t="shared" si="11"/>
        <v>3.625</v>
      </c>
      <c r="AE41" s="101">
        <f t="shared" si="12"/>
        <v>339.363248</v>
      </c>
      <c r="AJ41" s="101">
        <f t="shared" si="13"/>
        <v>339.363248</v>
      </c>
    </row>
    <row r="42" spans="1:37" x14ac:dyDescent="0.2">
      <c r="A42" s="5">
        <v>1.375</v>
      </c>
      <c r="B42" s="82">
        <v>1.2649999999999999</v>
      </c>
      <c r="C42" s="82">
        <f t="shared" si="14"/>
        <v>8.7278734446019548E-3</v>
      </c>
      <c r="W42" s="25">
        <f t="shared" si="8"/>
        <v>385.08</v>
      </c>
      <c r="X42" s="25">
        <f t="shared" si="9"/>
        <v>435.9</v>
      </c>
      <c r="Z42" s="253">
        <f xml:space="preserve"> 0.6353*Y30 + 410.49</f>
        <v>435.90199999999999</v>
      </c>
      <c r="AA42" s="254"/>
      <c r="AB42" s="28">
        <f t="shared" si="10"/>
        <v>477.74859200000003</v>
      </c>
      <c r="AC42" s="5">
        <f t="shared" si="11"/>
        <v>4.125</v>
      </c>
      <c r="AE42" s="101">
        <f t="shared" si="12"/>
        <v>477.74859200000003</v>
      </c>
      <c r="AJ42" s="101">
        <f t="shared" si="13"/>
        <v>477.74859200000003</v>
      </c>
    </row>
    <row r="43" spans="1:37" x14ac:dyDescent="0.2">
      <c r="A43" s="5">
        <v>1.625</v>
      </c>
      <c r="B43" s="82">
        <v>1.5049999999999999</v>
      </c>
      <c r="C43" s="82">
        <f t="shared" si="14"/>
        <v>1.2353794965620174E-2</v>
      </c>
      <c r="W43" s="25">
        <f t="shared" si="8"/>
        <v>686.18</v>
      </c>
      <c r="X43" s="25">
        <f t="shared" si="9"/>
        <v>776.72</v>
      </c>
      <c r="Z43" s="255">
        <f xml:space="preserve"> 1.1318*Y30 + 731.45</f>
        <v>776.72200000000009</v>
      </c>
      <c r="AA43" s="255"/>
      <c r="AB43" s="28">
        <f t="shared" si="10"/>
        <v>851.28731200000016</v>
      </c>
      <c r="AC43" s="5">
        <f t="shared" si="11"/>
        <v>5.125</v>
      </c>
      <c r="AE43" s="101">
        <f t="shared" si="12"/>
        <v>851.28731200000016</v>
      </c>
      <c r="AJ43" s="101">
        <f t="shared" si="13"/>
        <v>851.28731200000016</v>
      </c>
    </row>
    <row r="44" spans="1:37" x14ac:dyDescent="0.2">
      <c r="A44" s="5">
        <v>2.125</v>
      </c>
      <c r="B44" s="82">
        <v>1.9850000000000001</v>
      </c>
      <c r="C44" s="82">
        <f t="shared" si="14"/>
        <v>2.1490593599810495E-2</v>
      </c>
      <c r="W44" s="25">
        <f t="shared" si="8"/>
        <v>1099.0999999999999</v>
      </c>
      <c r="X44" s="25">
        <f t="shared" si="9"/>
        <v>1244.1300000000001</v>
      </c>
      <c r="Z44" s="253">
        <f xml:space="preserve"> 1.8129*Y30 + 1171.6</f>
        <v>1244.116</v>
      </c>
      <c r="AA44" s="254"/>
      <c r="AB44" s="28">
        <f t="shared" si="10"/>
        <v>1363.551136</v>
      </c>
      <c r="AC44" s="5">
        <f t="shared" si="11"/>
        <v>6.125</v>
      </c>
      <c r="AE44" s="101">
        <f t="shared" si="12"/>
        <v>1363.551136</v>
      </c>
      <c r="AJ44" s="101">
        <f t="shared" si="13"/>
        <v>1363.551136</v>
      </c>
    </row>
    <row r="45" spans="1:37" x14ac:dyDescent="0.2">
      <c r="A45" s="5">
        <v>2.625</v>
      </c>
      <c r="B45" s="82">
        <v>2.4649999999999999</v>
      </c>
      <c r="C45" s="82">
        <f t="shared" si="14"/>
        <v>3.3140666356872635E-2</v>
      </c>
      <c r="W45" s="25">
        <f>G23</f>
        <v>2268.62</v>
      </c>
      <c r="X45" s="25">
        <f>H23</f>
        <v>2567.98</v>
      </c>
      <c r="Z45" s="253">
        <f xml:space="preserve"> 3.742*Y30 + 2418.3</f>
        <v>2567.98</v>
      </c>
      <c r="AA45" s="254"/>
      <c r="AB45" s="28">
        <f>$AH$8*Z45</f>
        <v>2814.5060800000001</v>
      </c>
      <c r="AC45" s="5">
        <f>A23</f>
        <v>8.125</v>
      </c>
    </row>
    <row r="46" spans="1:37" x14ac:dyDescent="0.2">
      <c r="A46" s="5">
        <v>3.125</v>
      </c>
      <c r="B46" s="82">
        <v>2.9449999999999998</v>
      </c>
      <c r="C46" s="82">
        <f t="shared" si="14"/>
        <v>4.7304013236806622E-2</v>
      </c>
      <c r="AB46" s="108"/>
    </row>
    <row r="47" spans="1:37" x14ac:dyDescent="0.2">
      <c r="A47" s="5">
        <v>3.625</v>
      </c>
      <c r="B47" s="82">
        <v>3.4249999999999998</v>
      </c>
      <c r="C47" s="82">
        <f t="shared" si="14"/>
        <v>6.3980634239612436E-2</v>
      </c>
      <c r="AB47" s="108"/>
    </row>
    <row r="48" spans="1:37" x14ac:dyDescent="0.2">
      <c r="A48" s="5">
        <v>4.125</v>
      </c>
      <c r="B48" s="82">
        <v>3.9049999999999998</v>
      </c>
      <c r="C48" s="82">
        <f t="shared" si="14"/>
        <v>8.3170529365290083E-2</v>
      </c>
      <c r="AB48" s="108"/>
    </row>
    <row r="49" spans="1:28" x14ac:dyDescent="0.2">
      <c r="A49" s="5">
        <v>5.125</v>
      </c>
      <c r="B49" s="82">
        <v>4.875</v>
      </c>
      <c r="C49" s="82">
        <f t="shared" si="14"/>
        <v>0.12962137657633666</v>
      </c>
      <c r="AB49" s="7"/>
    </row>
    <row r="50" spans="1:28" x14ac:dyDescent="0.2">
      <c r="A50" s="5">
        <v>6.125</v>
      </c>
      <c r="B50" s="82">
        <v>5.8449999999999998</v>
      </c>
      <c r="C50" s="82">
        <f t="shared" si="14"/>
        <v>0.18633585061989238</v>
      </c>
      <c r="AB50" s="7"/>
    </row>
    <row r="51" spans="1:28" x14ac:dyDescent="0.2">
      <c r="A51" s="5">
        <v>8.125</v>
      </c>
      <c r="B51" s="82">
        <v>7.7249999999999996</v>
      </c>
      <c r="C51" s="82">
        <f t="shared" si="14"/>
        <v>0.32548004357357535</v>
      </c>
      <c r="AB51" s="7"/>
    </row>
    <row r="52" spans="1:28" x14ac:dyDescent="0.2">
      <c r="AB52" s="7"/>
    </row>
    <row r="53" spans="1:28" x14ac:dyDescent="0.2">
      <c r="AB53" s="7"/>
    </row>
    <row r="54" spans="1:28" x14ac:dyDescent="0.2">
      <c r="AB54" s="7"/>
    </row>
    <row r="55" spans="1:28" x14ac:dyDescent="0.2">
      <c r="AB55" s="7"/>
    </row>
    <row r="56" spans="1:28" x14ac:dyDescent="0.2">
      <c r="AB56" s="7"/>
    </row>
    <row r="57" spans="1:28" x14ac:dyDescent="0.2">
      <c r="AB57" s="7"/>
    </row>
    <row r="58" spans="1:28" x14ac:dyDescent="0.2">
      <c r="AB58" s="7"/>
    </row>
  </sheetData>
  <mergeCells count="87">
    <mergeCell ref="Z45:AA45"/>
    <mergeCell ref="AN3:AQ3"/>
    <mergeCell ref="M4:P4"/>
    <mergeCell ref="W4:Y4"/>
    <mergeCell ref="AM5:AM7"/>
    <mergeCell ref="AJ4:AM4"/>
    <mergeCell ref="AG5:AG6"/>
    <mergeCell ref="AH5:AH6"/>
    <mergeCell ref="AF5:AF7"/>
    <mergeCell ref="AC5:AC7"/>
    <mergeCell ref="AD5:AD7"/>
    <mergeCell ref="AN4:AN5"/>
    <mergeCell ref="AO4:AO7"/>
    <mergeCell ref="U6:U7"/>
    <mergeCell ref="P5:P8"/>
    <mergeCell ref="O5:O8"/>
    <mergeCell ref="A1:D1"/>
    <mergeCell ref="F1:G1"/>
    <mergeCell ref="H1:I1"/>
    <mergeCell ref="J1:K1"/>
    <mergeCell ref="A35:C35"/>
    <mergeCell ref="A3:K3"/>
    <mergeCell ref="A6:A8"/>
    <mergeCell ref="A25:B25"/>
    <mergeCell ref="D25:F25"/>
    <mergeCell ref="I4:I5"/>
    <mergeCell ref="G4:H5"/>
    <mergeCell ref="I6:I8"/>
    <mergeCell ref="A27:B27"/>
    <mergeCell ref="A26:B26"/>
    <mergeCell ref="A28:B28"/>
    <mergeCell ref="A29:B29"/>
    <mergeCell ref="Z36:AA36"/>
    <mergeCell ref="N6:N8"/>
    <mergeCell ref="M5:M8"/>
    <mergeCell ref="A4:A5"/>
    <mergeCell ref="T6:T8"/>
    <mergeCell ref="J4:K4"/>
    <mergeCell ref="J5:K5"/>
    <mergeCell ref="B7:F7"/>
    <mergeCell ref="B5:F5"/>
    <mergeCell ref="B4:F4"/>
    <mergeCell ref="R5:U5"/>
    <mergeCell ref="G6:H7"/>
    <mergeCell ref="AP4:AP7"/>
    <mergeCell ref="AQ4:AQ7"/>
    <mergeCell ref="AL5:AL6"/>
    <mergeCell ref="AE5:AE7"/>
    <mergeCell ref="AA4:AH4"/>
    <mergeCell ref="AA5:AA6"/>
    <mergeCell ref="AB5:AB7"/>
    <mergeCell ref="L1:M1"/>
    <mergeCell ref="Z28:AA29"/>
    <mergeCell ref="Z30:AA30"/>
    <mergeCell ref="W26:X27"/>
    <mergeCell ref="W28:X29"/>
    <mergeCell ref="W25:X25"/>
    <mergeCell ref="X5:X6"/>
    <mergeCell ref="Y5:Y6"/>
    <mergeCell ref="Z26:AA27"/>
    <mergeCell ref="W5:W6"/>
    <mergeCell ref="AD26:AG26"/>
    <mergeCell ref="AD27:AD28"/>
    <mergeCell ref="AE27:AE30"/>
    <mergeCell ref="AF27:AF30"/>
    <mergeCell ref="AG27:AG30"/>
    <mergeCell ref="AB26:AB27"/>
    <mergeCell ref="AB28:AB29"/>
    <mergeCell ref="AC28:AC30"/>
    <mergeCell ref="Z44:AA44"/>
    <mergeCell ref="Z43:AA43"/>
    <mergeCell ref="Z41:AA41"/>
    <mergeCell ref="Z42:AA42"/>
    <mergeCell ref="Z31:AA31"/>
    <mergeCell ref="Z40:AA40"/>
    <mergeCell ref="Z39:AA39"/>
    <mergeCell ref="Z35:AA35"/>
    <mergeCell ref="Z37:AA37"/>
    <mergeCell ref="Z38:AA38"/>
    <mergeCell ref="Z32:AA32"/>
    <mergeCell ref="Z33:AA33"/>
    <mergeCell ref="Z34:AA34"/>
    <mergeCell ref="AI26:AL26"/>
    <mergeCell ref="AI27:AI28"/>
    <mergeCell ref="AJ27:AJ30"/>
    <mergeCell ref="AK27:AK30"/>
    <mergeCell ref="AL27:AL30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B43"/>
  <sheetViews>
    <sheetView workbookViewId="0">
      <selection activeCell="B25" sqref="B25"/>
    </sheetView>
  </sheetViews>
  <sheetFormatPr defaultRowHeight="11.25" x14ac:dyDescent="0.2"/>
  <cols>
    <col min="1" max="1" width="26.5703125" style="36" bestFit="1" customWidth="1"/>
    <col min="2" max="2" width="9.140625" style="36"/>
    <col min="3" max="3" width="12.140625" style="36" customWidth="1"/>
    <col min="4" max="5" width="9.140625" style="36"/>
    <col min="6" max="6" width="26.5703125" style="36" bestFit="1" customWidth="1"/>
    <col min="7" max="7" width="9.140625" style="36"/>
    <col min="8" max="8" width="13.140625" style="36" customWidth="1"/>
    <col min="9" max="9" width="15.7109375" style="36" customWidth="1"/>
    <col min="10" max="10" width="15.85546875" style="36" customWidth="1"/>
    <col min="11" max="11" width="16.28515625" style="36" customWidth="1"/>
    <col min="12" max="12" width="15.7109375" style="36" customWidth="1"/>
    <col min="13" max="13" width="9.140625" style="36"/>
    <col min="14" max="14" width="16.140625" style="36" bestFit="1" customWidth="1"/>
    <col min="15" max="17" width="9.140625" style="36"/>
    <col min="18" max="18" width="16.5703125" style="36" customWidth="1"/>
    <col min="19" max="19" width="9.140625" style="36"/>
    <col min="20" max="20" width="16.140625" style="36" customWidth="1"/>
    <col min="21" max="23" width="9.140625" style="36"/>
    <col min="24" max="24" width="16.5703125" style="36" bestFit="1" customWidth="1"/>
    <col min="25" max="25" width="9.140625" style="36"/>
    <col min="26" max="26" width="16.140625" style="36" customWidth="1"/>
    <col min="27" max="16384" width="9.140625" style="36"/>
  </cols>
  <sheetData>
    <row r="1" spans="1:21" x14ac:dyDescent="0.2">
      <c r="A1" s="268" t="s">
        <v>152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</row>
    <row r="2" spans="1:21" ht="11.25" customHeight="1" x14ac:dyDescent="0.2">
      <c r="A2" s="43"/>
      <c r="B2" s="261" t="s">
        <v>50</v>
      </c>
      <c r="C2" s="261"/>
      <c r="D2" s="261"/>
      <c r="E2" s="261"/>
      <c r="F2" s="261"/>
      <c r="G2" s="261"/>
      <c r="H2" s="261" t="s">
        <v>51</v>
      </c>
      <c r="I2" s="261"/>
      <c r="J2" s="261"/>
      <c r="K2" s="261"/>
      <c r="L2" s="268" t="s">
        <v>86</v>
      </c>
      <c r="M2" s="268"/>
      <c r="N2" s="268"/>
      <c r="O2" s="268"/>
      <c r="P2" s="268"/>
      <c r="Q2" s="268"/>
      <c r="R2" s="268"/>
      <c r="S2" s="268"/>
      <c r="T2" s="268"/>
    </row>
    <row r="3" spans="1:21" ht="22.7" customHeight="1" x14ac:dyDescent="0.2">
      <c r="A3" s="44" t="s">
        <v>61</v>
      </c>
      <c r="B3" s="46" t="s">
        <v>70</v>
      </c>
      <c r="C3" s="46" t="s">
        <v>75</v>
      </c>
      <c r="D3" s="46" t="s">
        <v>71</v>
      </c>
      <c r="E3" s="46" t="s">
        <v>72</v>
      </c>
      <c r="F3" s="46" t="s">
        <v>73</v>
      </c>
      <c r="G3" s="46" t="s">
        <v>74</v>
      </c>
      <c r="H3" s="47" t="s">
        <v>60</v>
      </c>
      <c r="I3" s="47" t="s">
        <v>64</v>
      </c>
      <c r="J3" s="46" t="s">
        <v>62</v>
      </c>
      <c r="K3" s="46" t="s">
        <v>63</v>
      </c>
      <c r="L3" s="46" t="s">
        <v>65</v>
      </c>
      <c r="M3" s="46" t="s">
        <v>52</v>
      </c>
      <c r="N3" s="46" t="s">
        <v>53</v>
      </c>
      <c r="O3" s="46" t="s">
        <v>54</v>
      </c>
      <c r="P3" s="46" t="s">
        <v>55</v>
      </c>
      <c r="Q3" s="46" t="s">
        <v>56</v>
      </c>
      <c r="R3" s="46" t="s">
        <v>57</v>
      </c>
      <c r="S3" s="46" t="s">
        <v>58</v>
      </c>
      <c r="T3" s="46" t="s">
        <v>59</v>
      </c>
      <c r="U3" s="46" t="s">
        <v>78</v>
      </c>
    </row>
    <row r="4" spans="1:21" x14ac:dyDescent="0.2">
      <c r="A4" s="45">
        <v>0.5</v>
      </c>
      <c r="B4" s="37">
        <v>1.4</v>
      </c>
      <c r="C4" s="37">
        <v>0.9</v>
      </c>
      <c r="D4" s="37">
        <v>2.2999999999999998</v>
      </c>
      <c r="E4" s="37">
        <v>0.7</v>
      </c>
      <c r="F4" s="37">
        <v>1.1000000000000001</v>
      </c>
      <c r="G4" s="37">
        <v>2.2999999999999998</v>
      </c>
      <c r="H4" s="37">
        <v>2.7</v>
      </c>
      <c r="I4" s="37">
        <v>0.9</v>
      </c>
      <c r="J4" s="37">
        <v>1.2</v>
      </c>
      <c r="K4" s="37">
        <v>1.4</v>
      </c>
      <c r="L4" s="37">
        <v>17</v>
      </c>
      <c r="M4" s="37">
        <v>8</v>
      </c>
      <c r="N4" s="37">
        <v>6</v>
      </c>
      <c r="O4" s="37">
        <v>6</v>
      </c>
      <c r="P4" s="37">
        <v>0.6</v>
      </c>
      <c r="Q4" s="37">
        <v>5</v>
      </c>
      <c r="R4" s="38">
        <v>1</v>
      </c>
      <c r="S4" s="37">
        <v>12</v>
      </c>
      <c r="T4" s="37">
        <v>15</v>
      </c>
      <c r="U4" s="63">
        <v>-1</v>
      </c>
    </row>
    <row r="5" spans="1:21" x14ac:dyDescent="0.2">
      <c r="A5" s="45">
        <v>0.75</v>
      </c>
      <c r="B5" s="37">
        <f>(B6-B4)/2+B4</f>
        <v>1.5</v>
      </c>
      <c r="C5" s="37">
        <f t="shared" ref="C5:K5" si="0">(C6-C4)/2+C4</f>
        <v>0.95</v>
      </c>
      <c r="D5" s="37">
        <f t="shared" si="0"/>
        <v>2.4</v>
      </c>
      <c r="E5" s="37">
        <f t="shared" si="0"/>
        <v>0.75</v>
      </c>
      <c r="F5" s="37">
        <f t="shared" si="0"/>
        <v>1.2000000000000002</v>
      </c>
      <c r="G5" s="37">
        <f t="shared" si="0"/>
        <v>2.4</v>
      </c>
      <c r="H5" s="37">
        <f t="shared" si="0"/>
        <v>2.85</v>
      </c>
      <c r="I5" s="37">
        <f t="shared" si="0"/>
        <v>0.95</v>
      </c>
      <c r="J5" s="37">
        <f t="shared" si="0"/>
        <v>1.2999999999999998</v>
      </c>
      <c r="K5" s="37">
        <f t="shared" si="0"/>
        <v>1.5</v>
      </c>
      <c r="L5" s="37">
        <f t="shared" ref="L5:T5" si="1">(L6-L4)/2+L4</f>
        <v>17.5</v>
      </c>
      <c r="M5" s="37">
        <f t="shared" si="1"/>
        <v>8.5</v>
      </c>
      <c r="N5" s="37">
        <f t="shared" si="1"/>
        <v>6.5</v>
      </c>
      <c r="O5" s="37">
        <f t="shared" si="1"/>
        <v>6.5</v>
      </c>
      <c r="P5" s="37">
        <f t="shared" si="1"/>
        <v>0.64999999999999991</v>
      </c>
      <c r="Q5" s="37">
        <f t="shared" si="1"/>
        <v>5.5</v>
      </c>
      <c r="R5" s="37">
        <f t="shared" si="1"/>
        <v>1.1000000000000001</v>
      </c>
      <c r="S5" s="37">
        <f t="shared" si="1"/>
        <v>13.5</v>
      </c>
      <c r="T5" s="37">
        <f t="shared" si="1"/>
        <v>16</v>
      </c>
      <c r="U5" s="63">
        <v>-1</v>
      </c>
    </row>
    <row r="6" spans="1:21" x14ac:dyDescent="0.2">
      <c r="A6" s="45">
        <v>0.625</v>
      </c>
      <c r="B6" s="37">
        <v>1.6</v>
      </c>
      <c r="C6" s="37">
        <v>1</v>
      </c>
      <c r="D6" s="37">
        <v>2.5</v>
      </c>
      <c r="E6" s="37">
        <v>0.8</v>
      </c>
      <c r="F6" s="37">
        <v>1.3</v>
      </c>
      <c r="G6" s="37">
        <v>2.5</v>
      </c>
      <c r="H6" s="37">
        <v>3</v>
      </c>
      <c r="I6" s="37">
        <v>1</v>
      </c>
      <c r="J6" s="37">
        <v>1.4</v>
      </c>
      <c r="K6" s="37">
        <v>1.6</v>
      </c>
      <c r="L6" s="37">
        <v>18</v>
      </c>
      <c r="M6" s="37">
        <v>9</v>
      </c>
      <c r="N6" s="37">
        <v>7</v>
      </c>
      <c r="O6" s="37">
        <v>7</v>
      </c>
      <c r="P6" s="37">
        <v>0.7</v>
      </c>
      <c r="Q6" s="37">
        <v>6</v>
      </c>
      <c r="R6" s="38">
        <v>1.2</v>
      </c>
      <c r="S6" s="37">
        <v>15</v>
      </c>
      <c r="T6" s="37">
        <v>17</v>
      </c>
      <c r="U6" s="63">
        <v>-1</v>
      </c>
    </row>
    <row r="7" spans="1:21" x14ac:dyDescent="0.2">
      <c r="A7" s="45">
        <v>0.875</v>
      </c>
      <c r="B7" s="37">
        <v>2</v>
      </c>
      <c r="C7" s="37">
        <v>1.4</v>
      </c>
      <c r="D7" s="37">
        <v>3.2</v>
      </c>
      <c r="E7" s="37">
        <v>0.9</v>
      </c>
      <c r="F7" s="37">
        <v>1.6</v>
      </c>
      <c r="G7" s="37">
        <v>3.2</v>
      </c>
      <c r="H7" s="37">
        <v>4</v>
      </c>
      <c r="I7" s="37">
        <v>1.4</v>
      </c>
      <c r="J7" s="37">
        <v>1.9</v>
      </c>
      <c r="K7" s="37">
        <v>2</v>
      </c>
      <c r="L7" s="37">
        <v>22</v>
      </c>
      <c r="M7" s="37">
        <v>11</v>
      </c>
      <c r="N7" s="37">
        <v>9</v>
      </c>
      <c r="O7" s="37">
        <v>9</v>
      </c>
      <c r="P7" s="37">
        <v>0.9</v>
      </c>
      <c r="Q7" s="37">
        <v>8</v>
      </c>
      <c r="R7" s="38">
        <v>1.6</v>
      </c>
      <c r="S7" s="37">
        <v>21</v>
      </c>
      <c r="T7" s="37">
        <v>22</v>
      </c>
      <c r="U7" s="63">
        <v>-1</v>
      </c>
    </row>
    <row r="8" spans="1:21" x14ac:dyDescent="0.2">
      <c r="A8" s="45">
        <v>1.125</v>
      </c>
      <c r="B8" s="37">
        <v>2.6</v>
      </c>
      <c r="C8" s="37">
        <v>1.7</v>
      </c>
      <c r="D8" s="37">
        <v>4.0999999999999996</v>
      </c>
      <c r="E8" s="37">
        <v>1.3</v>
      </c>
      <c r="F8" s="37">
        <v>2.1</v>
      </c>
      <c r="G8" s="37">
        <v>4.0999999999999996</v>
      </c>
      <c r="H8" s="37">
        <v>5</v>
      </c>
      <c r="I8" s="37">
        <v>1.7</v>
      </c>
      <c r="J8" s="37">
        <v>2.2000000000000002</v>
      </c>
      <c r="K8" s="37">
        <v>2.6</v>
      </c>
      <c r="L8" s="37">
        <v>29</v>
      </c>
      <c r="M8" s="37">
        <v>15</v>
      </c>
      <c r="N8" s="37">
        <v>12</v>
      </c>
      <c r="O8" s="37">
        <v>12</v>
      </c>
      <c r="P8" s="37">
        <v>1</v>
      </c>
      <c r="Q8" s="37">
        <v>10</v>
      </c>
      <c r="R8" s="38">
        <v>2</v>
      </c>
      <c r="S8" s="37">
        <v>26</v>
      </c>
      <c r="T8" s="37">
        <v>25</v>
      </c>
      <c r="U8" s="63">
        <v>-1</v>
      </c>
    </row>
    <row r="9" spans="1:21" x14ac:dyDescent="0.2">
      <c r="A9" s="45">
        <v>1.375</v>
      </c>
      <c r="B9" s="37">
        <v>3.3</v>
      </c>
      <c r="C9" s="37">
        <v>2.2999999999999998</v>
      </c>
      <c r="D9" s="37">
        <v>5.6</v>
      </c>
      <c r="E9" s="37">
        <v>1.7</v>
      </c>
      <c r="F9" s="37">
        <v>3</v>
      </c>
      <c r="G9" s="37">
        <v>5.6</v>
      </c>
      <c r="H9" s="37">
        <v>7</v>
      </c>
      <c r="I9" s="37">
        <v>2.2999999999999998</v>
      </c>
      <c r="J9" s="37">
        <v>3.1</v>
      </c>
      <c r="K9" s="37">
        <v>3.3</v>
      </c>
      <c r="L9" s="37">
        <v>38</v>
      </c>
      <c r="M9" s="37">
        <v>20</v>
      </c>
      <c r="N9" s="37">
        <v>15</v>
      </c>
      <c r="O9" s="37">
        <v>15</v>
      </c>
      <c r="P9" s="37">
        <v>1.5</v>
      </c>
      <c r="Q9" s="37">
        <v>14</v>
      </c>
      <c r="R9" s="38">
        <v>2.5</v>
      </c>
      <c r="S9" s="37">
        <v>35</v>
      </c>
      <c r="T9" s="37">
        <v>36</v>
      </c>
      <c r="U9" s="63">
        <v>-1</v>
      </c>
    </row>
    <row r="10" spans="1:21" x14ac:dyDescent="0.2">
      <c r="A10" s="45">
        <v>1.625</v>
      </c>
      <c r="B10" s="37">
        <v>4</v>
      </c>
      <c r="C10" s="37">
        <v>2.6</v>
      </c>
      <c r="D10" s="37">
        <v>6.3</v>
      </c>
      <c r="E10" s="37">
        <v>2.1</v>
      </c>
      <c r="F10" s="37">
        <v>3.4</v>
      </c>
      <c r="G10" s="37">
        <v>6.3</v>
      </c>
      <c r="H10" s="37">
        <v>8</v>
      </c>
      <c r="I10" s="37">
        <v>2.6</v>
      </c>
      <c r="J10" s="37">
        <v>3.7</v>
      </c>
      <c r="K10" s="37">
        <v>4</v>
      </c>
      <c r="L10" s="37">
        <v>43</v>
      </c>
      <c r="M10" s="37">
        <v>24</v>
      </c>
      <c r="N10" s="37">
        <v>18</v>
      </c>
      <c r="O10" s="37">
        <v>18</v>
      </c>
      <c r="P10" s="37">
        <v>1.8</v>
      </c>
      <c r="Q10" s="37">
        <v>16</v>
      </c>
      <c r="R10" s="38">
        <v>2.6</v>
      </c>
      <c r="S10" s="39">
        <v>-1</v>
      </c>
      <c r="T10" s="37">
        <v>40</v>
      </c>
      <c r="U10" s="63">
        <v>-1</v>
      </c>
    </row>
    <row r="11" spans="1:21" x14ac:dyDescent="0.2">
      <c r="A11" s="45">
        <v>2.125</v>
      </c>
      <c r="B11" s="37">
        <v>5</v>
      </c>
      <c r="C11" s="37">
        <v>3.3</v>
      </c>
      <c r="D11" s="37">
        <v>8.1999999999999993</v>
      </c>
      <c r="E11" s="37">
        <v>2.6</v>
      </c>
      <c r="F11" s="37">
        <v>4.5</v>
      </c>
      <c r="G11" s="37">
        <v>8.1999999999999993</v>
      </c>
      <c r="H11" s="37">
        <v>10</v>
      </c>
      <c r="I11" s="37">
        <v>3.3</v>
      </c>
      <c r="J11" s="37">
        <v>4.7</v>
      </c>
      <c r="K11" s="37">
        <v>5</v>
      </c>
      <c r="L11" s="37">
        <v>55</v>
      </c>
      <c r="M11" s="37">
        <v>30</v>
      </c>
      <c r="N11" s="37">
        <v>24</v>
      </c>
      <c r="O11" s="37">
        <v>24</v>
      </c>
      <c r="P11" s="37">
        <v>2.2999999999999998</v>
      </c>
      <c r="Q11" s="37">
        <v>20</v>
      </c>
      <c r="R11" s="62">
        <v>-1</v>
      </c>
      <c r="S11" s="62">
        <v>-1</v>
      </c>
      <c r="T11" s="62">
        <v>-1</v>
      </c>
      <c r="U11" s="63">
        <v>-1</v>
      </c>
    </row>
    <row r="12" spans="1:21" x14ac:dyDescent="0.2">
      <c r="A12" s="45">
        <v>2.625</v>
      </c>
      <c r="B12" s="37">
        <v>6</v>
      </c>
      <c r="C12" s="37">
        <v>4.0999999999999996</v>
      </c>
      <c r="D12" s="37">
        <v>10</v>
      </c>
      <c r="E12" s="37">
        <v>3.2</v>
      </c>
      <c r="F12" s="37">
        <v>5.2</v>
      </c>
      <c r="G12" s="37">
        <v>10</v>
      </c>
      <c r="H12" s="37">
        <v>12</v>
      </c>
      <c r="I12" s="37">
        <v>4.0999999999999996</v>
      </c>
      <c r="J12" s="37">
        <v>5.6</v>
      </c>
      <c r="K12" s="37">
        <v>6</v>
      </c>
      <c r="L12" s="37">
        <v>69</v>
      </c>
      <c r="M12" s="37">
        <v>35</v>
      </c>
      <c r="N12" s="37">
        <v>29</v>
      </c>
      <c r="O12" s="37">
        <v>29</v>
      </c>
      <c r="P12" s="37">
        <v>2.8</v>
      </c>
      <c r="Q12" s="37">
        <v>25</v>
      </c>
      <c r="R12" s="62">
        <v>-1</v>
      </c>
      <c r="S12" s="39">
        <v>-1</v>
      </c>
      <c r="T12" s="39">
        <v>-1</v>
      </c>
      <c r="U12" s="63">
        <v>-1</v>
      </c>
    </row>
    <row r="13" spans="1:21" x14ac:dyDescent="0.2">
      <c r="A13" s="45">
        <v>3.125</v>
      </c>
      <c r="B13" s="37">
        <v>7.5</v>
      </c>
      <c r="C13" s="37">
        <v>5</v>
      </c>
      <c r="D13" s="37">
        <v>12</v>
      </c>
      <c r="E13" s="37">
        <v>4</v>
      </c>
      <c r="F13" s="37">
        <v>6.4</v>
      </c>
      <c r="G13" s="37">
        <v>12</v>
      </c>
      <c r="H13" s="37">
        <v>15</v>
      </c>
      <c r="I13" s="37">
        <v>5</v>
      </c>
      <c r="J13" s="37">
        <v>7</v>
      </c>
      <c r="K13" s="37">
        <v>7.5</v>
      </c>
      <c r="L13" s="37">
        <v>84</v>
      </c>
      <c r="M13" s="37">
        <v>43</v>
      </c>
      <c r="N13" s="37">
        <v>35</v>
      </c>
      <c r="O13" s="37">
        <v>35</v>
      </c>
      <c r="P13" s="37">
        <v>3.2</v>
      </c>
      <c r="Q13" s="37">
        <v>30</v>
      </c>
      <c r="R13" s="62">
        <v>-1</v>
      </c>
      <c r="S13" s="62">
        <v>-1</v>
      </c>
      <c r="T13" s="62">
        <v>-1</v>
      </c>
      <c r="U13" s="63">
        <v>-1</v>
      </c>
    </row>
    <row r="14" spans="1:21" x14ac:dyDescent="0.2">
      <c r="A14" s="45">
        <v>3.625</v>
      </c>
      <c r="B14" s="37">
        <v>9</v>
      </c>
      <c r="C14" s="37">
        <v>5.9</v>
      </c>
      <c r="D14" s="37">
        <v>15</v>
      </c>
      <c r="E14" s="37">
        <v>4.7</v>
      </c>
      <c r="F14" s="37">
        <v>7.3</v>
      </c>
      <c r="G14" s="37">
        <v>15</v>
      </c>
      <c r="H14" s="37">
        <v>18</v>
      </c>
      <c r="I14" s="37">
        <v>5.9</v>
      </c>
      <c r="J14" s="37">
        <v>8</v>
      </c>
      <c r="K14" s="37">
        <v>9</v>
      </c>
      <c r="L14" s="37">
        <v>100</v>
      </c>
      <c r="M14" s="37">
        <v>50</v>
      </c>
      <c r="N14" s="37">
        <v>41</v>
      </c>
      <c r="O14" s="37">
        <v>41</v>
      </c>
      <c r="P14" s="37">
        <v>4</v>
      </c>
      <c r="Q14" s="37">
        <v>35</v>
      </c>
      <c r="R14" s="62">
        <v>-1</v>
      </c>
      <c r="S14" s="39">
        <v>-1</v>
      </c>
      <c r="T14" s="39">
        <v>-1</v>
      </c>
      <c r="U14" s="63">
        <v>-1</v>
      </c>
    </row>
    <row r="15" spans="1:21" x14ac:dyDescent="0.2">
      <c r="A15" s="45">
        <v>4.125</v>
      </c>
      <c r="B15" s="37">
        <v>10</v>
      </c>
      <c r="C15" s="37">
        <v>6.7</v>
      </c>
      <c r="D15" s="37">
        <v>17</v>
      </c>
      <c r="E15" s="37">
        <v>5.2</v>
      </c>
      <c r="F15" s="37">
        <v>8.5</v>
      </c>
      <c r="G15" s="37">
        <v>17</v>
      </c>
      <c r="H15" s="37">
        <v>21</v>
      </c>
      <c r="I15" s="37">
        <v>6.7</v>
      </c>
      <c r="J15" s="37">
        <v>9</v>
      </c>
      <c r="K15" s="37">
        <v>10</v>
      </c>
      <c r="L15" s="37">
        <v>120</v>
      </c>
      <c r="M15" s="37">
        <v>58</v>
      </c>
      <c r="N15" s="37">
        <v>47</v>
      </c>
      <c r="O15" s="37">
        <v>47</v>
      </c>
      <c r="P15" s="37">
        <v>4.5</v>
      </c>
      <c r="Q15" s="37">
        <v>40</v>
      </c>
      <c r="R15" s="62">
        <v>-1</v>
      </c>
      <c r="S15" s="62">
        <v>-1</v>
      </c>
      <c r="T15" s="62">
        <v>-1</v>
      </c>
      <c r="U15" s="63">
        <v>-1</v>
      </c>
    </row>
    <row r="16" spans="1:21" x14ac:dyDescent="0.2">
      <c r="A16" s="45">
        <v>5.125</v>
      </c>
      <c r="B16" s="37">
        <v>13</v>
      </c>
      <c r="C16" s="37">
        <v>8.1999999999999993</v>
      </c>
      <c r="D16" s="37">
        <v>21</v>
      </c>
      <c r="E16" s="37">
        <v>6.5</v>
      </c>
      <c r="F16" s="37">
        <v>11</v>
      </c>
      <c r="G16" s="37">
        <v>21</v>
      </c>
      <c r="H16" s="37">
        <v>25</v>
      </c>
      <c r="I16" s="37">
        <v>8.1999999999999993</v>
      </c>
      <c r="J16" s="37">
        <v>12</v>
      </c>
      <c r="K16" s="37">
        <v>13</v>
      </c>
      <c r="L16" s="37">
        <v>140</v>
      </c>
      <c r="M16" s="37">
        <v>71</v>
      </c>
      <c r="N16" s="37">
        <v>58</v>
      </c>
      <c r="O16" s="37">
        <v>58</v>
      </c>
      <c r="P16" s="37">
        <v>6</v>
      </c>
      <c r="Q16" s="37">
        <v>50</v>
      </c>
      <c r="R16" s="62">
        <v>-1</v>
      </c>
      <c r="S16" s="39">
        <v>-1</v>
      </c>
      <c r="T16" s="39">
        <v>-1</v>
      </c>
      <c r="U16" s="63">
        <v>-1</v>
      </c>
    </row>
    <row r="17" spans="1:28" x14ac:dyDescent="0.2">
      <c r="A17" s="45">
        <v>6.125</v>
      </c>
      <c r="B17" s="37">
        <v>16</v>
      </c>
      <c r="C17" s="37">
        <v>10</v>
      </c>
      <c r="D17" s="37">
        <v>25</v>
      </c>
      <c r="E17" s="37">
        <v>7.9</v>
      </c>
      <c r="F17" s="37">
        <v>13</v>
      </c>
      <c r="G17" s="37">
        <v>25</v>
      </c>
      <c r="H17" s="37">
        <v>30</v>
      </c>
      <c r="I17" s="37">
        <v>10</v>
      </c>
      <c r="J17" s="37">
        <v>14</v>
      </c>
      <c r="K17" s="37">
        <v>16</v>
      </c>
      <c r="L17" s="37">
        <v>170</v>
      </c>
      <c r="M17" s="37">
        <v>88</v>
      </c>
      <c r="N17" s="37">
        <v>70</v>
      </c>
      <c r="O17" s="37">
        <v>70</v>
      </c>
      <c r="P17" s="37">
        <v>7</v>
      </c>
      <c r="Q17" s="37">
        <v>60</v>
      </c>
      <c r="R17" s="62">
        <v>-1</v>
      </c>
      <c r="S17" s="62">
        <v>-1</v>
      </c>
      <c r="T17" s="62">
        <v>-1</v>
      </c>
      <c r="U17" s="63">
        <v>-1</v>
      </c>
    </row>
    <row r="18" spans="1:28" x14ac:dyDescent="0.2">
      <c r="A18" s="45">
        <v>8.125</v>
      </c>
      <c r="B18" s="37">
        <v>20</v>
      </c>
      <c r="C18" s="37">
        <v>13</v>
      </c>
      <c r="D18" s="39">
        <v>-1</v>
      </c>
      <c r="E18" s="37">
        <v>10</v>
      </c>
      <c r="F18" s="39">
        <v>-1</v>
      </c>
      <c r="G18" s="37">
        <v>33</v>
      </c>
      <c r="H18" s="37">
        <v>40</v>
      </c>
      <c r="I18" s="37">
        <v>13</v>
      </c>
      <c r="J18" s="37">
        <v>18</v>
      </c>
      <c r="K18" s="37">
        <v>20</v>
      </c>
      <c r="L18" s="37">
        <v>220</v>
      </c>
      <c r="M18" s="37">
        <v>115</v>
      </c>
      <c r="N18" s="37">
        <v>85</v>
      </c>
      <c r="O18" s="37">
        <v>85</v>
      </c>
      <c r="P18" s="37">
        <v>9</v>
      </c>
      <c r="Q18" s="37">
        <v>80</v>
      </c>
      <c r="R18" s="62">
        <v>-1</v>
      </c>
      <c r="S18" s="39">
        <v>-1</v>
      </c>
      <c r="T18" s="39">
        <v>-1</v>
      </c>
      <c r="U18" s="63">
        <v>-1</v>
      </c>
    </row>
    <row r="19" spans="1:28" x14ac:dyDescent="0.2">
      <c r="B19" s="36">
        <v>2</v>
      </c>
      <c r="C19" s="36">
        <v>3</v>
      </c>
      <c r="D19" s="36">
        <v>4</v>
      </c>
      <c r="E19" s="36">
        <v>5</v>
      </c>
      <c r="F19" s="36">
        <v>6</v>
      </c>
      <c r="G19" s="36">
        <v>7</v>
      </c>
      <c r="H19" s="36">
        <v>8</v>
      </c>
      <c r="I19" s="36">
        <v>9</v>
      </c>
      <c r="J19" s="36">
        <v>10</v>
      </c>
      <c r="K19" s="36">
        <v>11</v>
      </c>
      <c r="L19" s="36">
        <v>12</v>
      </c>
      <c r="M19" s="36">
        <v>13</v>
      </c>
      <c r="N19" s="36">
        <v>14</v>
      </c>
      <c r="O19" s="36">
        <v>15</v>
      </c>
      <c r="P19" s="36">
        <v>16</v>
      </c>
      <c r="Q19" s="36">
        <v>17</v>
      </c>
      <c r="R19" s="36">
        <v>18</v>
      </c>
      <c r="S19" s="36">
        <v>19</v>
      </c>
      <c r="T19" s="36">
        <v>20</v>
      </c>
      <c r="U19" s="36">
        <v>21</v>
      </c>
    </row>
    <row r="20" spans="1:28" x14ac:dyDescent="0.2">
      <c r="A20" s="2" t="s">
        <v>77</v>
      </c>
    </row>
    <row r="21" spans="1:28" x14ac:dyDescent="0.2">
      <c r="B21" s="286" t="s">
        <v>76</v>
      </c>
      <c r="C21" s="286"/>
      <c r="D21" s="286"/>
      <c r="E21" s="286"/>
      <c r="F21" s="286"/>
      <c r="G21" s="286"/>
    </row>
    <row r="22" spans="1:28" x14ac:dyDescent="0.2">
      <c r="B22" s="285" t="s">
        <v>92</v>
      </c>
      <c r="C22" s="285"/>
      <c r="D22" s="285"/>
      <c r="E22" s="285"/>
      <c r="F22" s="285"/>
      <c r="G22" s="285"/>
      <c r="H22" s="285"/>
      <c r="I22" s="285"/>
      <c r="J22" s="285"/>
      <c r="K22" s="285"/>
    </row>
    <row r="23" spans="1:28" ht="12" thickBot="1" x14ac:dyDescent="0.25">
      <c r="B23" s="40"/>
      <c r="C23" s="40"/>
      <c r="D23" s="40"/>
      <c r="E23" s="40"/>
      <c r="F23" s="40"/>
      <c r="G23" s="40"/>
      <c r="H23" s="40"/>
      <c r="I23" s="40"/>
      <c r="J23" s="40"/>
    </row>
    <row r="24" spans="1:28" ht="12.75" customHeight="1" x14ac:dyDescent="0.2">
      <c r="A24" s="282" t="s">
        <v>90</v>
      </c>
      <c r="B24" s="283"/>
      <c r="C24" s="283"/>
      <c r="D24" s="283"/>
      <c r="E24" s="283"/>
      <c r="F24" s="283"/>
      <c r="G24" s="283"/>
      <c r="H24" s="283"/>
      <c r="I24" s="283"/>
      <c r="J24" s="284"/>
      <c r="L24" s="277" t="s">
        <v>88</v>
      </c>
      <c r="M24" s="278"/>
      <c r="N24" s="278"/>
      <c r="O24" s="278"/>
      <c r="P24" s="279"/>
      <c r="Q24" s="3"/>
      <c r="R24" s="277" t="s">
        <v>198</v>
      </c>
      <c r="S24" s="278"/>
      <c r="T24" s="278"/>
      <c r="U24" s="278"/>
      <c r="V24" s="279"/>
      <c r="X24" s="277" t="s">
        <v>153</v>
      </c>
      <c r="Y24" s="278"/>
      <c r="Z24" s="278"/>
      <c r="AA24" s="278"/>
      <c r="AB24" s="279"/>
    </row>
    <row r="25" spans="1:28" x14ac:dyDescent="0.2">
      <c r="A25" s="52" t="s">
        <v>91</v>
      </c>
      <c r="B25" s="51">
        <f>'R-410A_Data'!P9</f>
        <v>0.75</v>
      </c>
      <c r="C25" s="40"/>
      <c r="D25" s="40"/>
      <c r="E25" s="40"/>
      <c r="F25" s="40"/>
      <c r="G25" s="40"/>
      <c r="H25" s="40"/>
      <c r="I25" s="40"/>
      <c r="J25" s="53"/>
      <c r="L25" s="52" t="s">
        <v>89</v>
      </c>
      <c r="M25" s="51">
        <f>'R-410A_Data'!AQ8</f>
        <v>1.375</v>
      </c>
      <c r="N25" s="40"/>
      <c r="O25" s="40"/>
      <c r="P25" s="53"/>
      <c r="Q25" s="40"/>
      <c r="R25" s="52" t="s">
        <v>199</v>
      </c>
      <c r="S25" s="51">
        <f>'R-410A_Data'!AG31</f>
        <v>1.375</v>
      </c>
      <c r="T25" s="40"/>
      <c r="U25" s="40"/>
      <c r="V25" s="53"/>
      <c r="X25" s="52" t="s">
        <v>154</v>
      </c>
      <c r="Y25" s="51">
        <f>'R-410A_Data'!AL31</f>
        <v>0.625</v>
      </c>
      <c r="Z25" s="40"/>
      <c r="AA25" s="40"/>
      <c r="AB25" s="53"/>
    </row>
    <row r="26" spans="1:28" x14ac:dyDescent="0.2">
      <c r="A26" s="54"/>
      <c r="J26" s="55"/>
      <c r="L26" s="54"/>
      <c r="P26" s="55"/>
      <c r="R26" s="54"/>
      <c r="V26" s="55"/>
      <c r="X26" s="54"/>
      <c r="AB26" s="55"/>
    </row>
    <row r="27" spans="1:28" x14ac:dyDescent="0.2">
      <c r="A27" s="280" t="s">
        <v>79</v>
      </c>
      <c r="B27" s="281"/>
      <c r="C27" s="281"/>
      <c r="D27" s="281"/>
      <c r="F27" s="281" t="s">
        <v>82</v>
      </c>
      <c r="G27" s="281"/>
      <c r="H27" s="281"/>
      <c r="I27" s="281"/>
      <c r="J27" s="55"/>
      <c r="L27" s="280" t="s">
        <v>79</v>
      </c>
      <c r="M27" s="281"/>
      <c r="N27" s="281"/>
      <c r="O27" s="281"/>
      <c r="P27" s="55"/>
      <c r="Q27" s="3"/>
      <c r="R27" s="280" t="s">
        <v>79</v>
      </c>
      <c r="S27" s="281"/>
      <c r="T27" s="281"/>
      <c r="U27" s="281"/>
      <c r="V27" s="55"/>
      <c r="X27" s="280" t="s">
        <v>79</v>
      </c>
      <c r="Y27" s="281"/>
      <c r="Z27" s="281"/>
      <c r="AA27" s="281"/>
      <c r="AB27" s="55"/>
    </row>
    <row r="28" spans="1:28" x14ac:dyDescent="0.2">
      <c r="A28" s="56" t="str">
        <f>'R-410A_Calculator'!C20</f>
        <v>90° Std Elbow</v>
      </c>
      <c r="B28" s="41">
        <f>IF(A28="Click here to select fitting.",0,IF(A28="90° Std Elbow",VLOOKUP($B$25,$A$4:$U$18,2),IF(A28="90° Long Radius Elbow",VLOOKUP($B$25,$A$4:$U$18,3),IF(A28="90° Street Elbow",VLOOKUP($B$25,$A$4:$U$18,4),"FALSE"))))</f>
        <v>1.5</v>
      </c>
      <c r="C28" s="48" t="s">
        <v>69</v>
      </c>
      <c r="D28" s="41">
        <f>IF(MAX(B28:B31)&lt;0,"Enter Value",MAX(B28:B31))</f>
        <v>1.5</v>
      </c>
      <c r="E28" s="3" t="s">
        <v>187</v>
      </c>
      <c r="F28" s="41" t="str">
        <f>'R-410A_Calculator'!C23</f>
        <v>Sight Glass</v>
      </c>
      <c r="G28" s="41" t="str">
        <f>IF(F28="Click here to select fitting.",0,IF(F28="90° Std Elbow",VLOOKUP($B$25,$A$4:$U$18,2),IF(F28="90° Long Radius Elbow",VLOOKUP($B$25,$A$4:$U$18,3),IF(F28="90° Street Elbow",VLOOKUP($B$25,$A$4:$U$18,4),"FALSE"))))</f>
        <v>FALSE</v>
      </c>
      <c r="H28" s="48" t="s">
        <v>69</v>
      </c>
      <c r="I28" s="41">
        <f>IF(MAX(G28:G31)&lt;0,"Enter Value",MAX(G28:G31))</f>
        <v>1.1000000000000001</v>
      </c>
      <c r="J28" s="61" t="s">
        <v>187</v>
      </c>
      <c r="L28" s="56" t="str">
        <f>'R-410A_Calculator'!C35</f>
        <v>90° Std Elbow</v>
      </c>
      <c r="M28" s="41">
        <f>IF(L28="Click here to select fitting.",0,IF(L28="90° Std Elbow",VLOOKUP($M$25,$A$4:$U$18,2),IF(L28="90° Long Radius Elbow",VLOOKUP($M$25,$A$4:$U$18,3),IF(L28="90° Street Elbow",VLOOKUP($M$25,$A$4:$U$18,4),"FALSE"))))</f>
        <v>3.3</v>
      </c>
      <c r="N28" s="48" t="s">
        <v>69</v>
      </c>
      <c r="O28" s="41">
        <f>IF(MAX(M28:M31)&lt;0,"Enter Value",MAX(M28:M31))</f>
        <v>3.3</v>
      </c>
      <c r="P28" s="61" t="s">
        <v>187</v>
      </c>
      <c r="R28" s="56" t="str">
        <f>'R-410A_Calculator'!C77</f>
        <v>90° Std Elbow</v>
      </c>
      <c r="S28" s="41">
        <f>IF(R28="Click here to select fitting.",0,IF(R28="90° Std Elbow",VLOOKUP($S$25,$A$4:$U$18,2),IF(R28="90° Long Radius Elbow",VLOOKUP($S$25,$A$4:$U$18,3),IF(R28="90° Street Elbow",VLOOKUP($S$25,$A$4:$U$18,4),"FALSE"))))</f>
        <v>3.3</v>
      </c>
      <c r="T28" s="48" t="s">
        <v>69</v>
      </c>
      <c r="U28" s="41">
        <f>IF(MAX(S28:S31)&lt;0,"Enter Value",MAX(S28:S31))</f>
        <v>3.3</v>
      </c>
      <c r="V28" s="61" t="s">
        <v>187</v>
      </c>
      <c r="X28" s="56" t="str">
        <f>'R-410A_Calculator'!C67</f>
        <v>90° Std Elbow</v>
      </c>
      <c r="Y28" s="41">
        <f>IF(X28="Click here to select fitting.",0,IF(X28="90° Std Elbow",VLOOKUP($Y$25,$A$4:$U$18,2),IF(X28="90° Long Radius Elbow",VLOOKUP($Y$25,$A$4:$U$18,3),IF(X28="90° Street Elbow",VLOOKUP($Y$25,$A$4:$U$18,4),"FALSE"))))</f>
        <v>1.4</v>
      </c>
      <c r="Z28" s="48" t="s">
        <v>69</v>
      </c>
      <c r="AA28" s="41">
        <f>IF(MAX(Y28:Y31)&lt;0,"Enter Value",MAX(Y28:Y31))</f>
        <v>1.4</v>
      </c>
      <c r="AB28" s="61" t="s">
        <v>187</v>
      </c>
    </row>
    <row r="29" spans="1:28" x14ac:dyDescent="0.2">
      <c r="A29" s="54"/>
      <c r="B29" s="41" t="b">
        <f>IF(B28="FALSE",IF(A28="45° Std Elbow",VLOOKUP($B$25,$A$4:$U$18,5),IF(A28="45° Street Elbow",VLOOKUP($B$25,$A$4:$U$18,6),IF(A28="180° Std Elbow",VLOOKUP($B$25,$A$4:$U$18,7),IF(A28="Flow Through Branch",VLOOKUP($B$25,$A$4:$U$18,8),IF(A28="Straight-Through Flow No Reduction",VLOOKUP($B$25,$A$4:$U$18,9),IF(A28="Straight-Through Flow Reduced 1/4",VLOOKUP($B$25,$A$4:$U$18,10),"FALSE")))))))</f>
        <v>0</v>
      </c>
      <c r="C29" s="48" t="s">
        <v>68</v>
      </c>
      <c r="D29" s="41">
        <f>'R-410A_Calculator'!D20</f>
        <v>8</v>
      </c>
      <c r="E29" s="3" t="s">
        <v>188</v>
      </c>
      <c r="G29" s="41" t="str">
        <f>IF(G28="FALSE",IF(F28="45° Std Elbow",VLOOKUP($B$25,$A$4:$U$18,5),IF(F28="45° Street Elbow",VLOOKUP($B$25,$A$4:$U$18,6),IF(F28="180° Std Elbow",VLOOKUP($B$25,$A$4:$U$18,7),IF(F28="Flow Through Branch",VLOOKUP($B$25,$A$4:$U$18,8),IF(F28="Straight-Through Flow No Reduction",VLOOKUP($B$25,$A$4:$U$18,9),IF(F28="Straight-Through Flow Reduced 1/4",VLOOKUP($B$25,$A$4:$U$18,10),"FALSE")))))))</f>
        <v>FALSE</v>
      </c>
      <c r="H29" s="48" t="s">
        <v>68</v>
      </c>
      <c r="I29" s="41">
        <f>'R-410A_Calculator'!D23</f>
        <v>1</v>
      </c>
      <c r="J29" s="61" t="s">
        <v>188</v>
      </c>
      <c r="L29" s="54"/>
      <c r="M29" s="41" t="b">
        <f>IF(M28="FALSE",IF(L28="45° Std Elbow",VLOOKUP($M$25,$A$4:$U$18,5),IF(L28="45° Street Elbow",VLOOKUP($M$25,$A$4:$U$18,6),IF(L28="180° Std Elbow",VLOOKUP($M$25,$A$4:$U$18,7),IF(L28="Flow Through Branch",VLOOKUP($M$25,$A$4:$U$18,8),IF(L28="Straight-Through Flow No Reduction",VLOOKUP($M$25,$A$4:$U$18,9),IF(L28="Straight-Through Flow Reduced 1/4",VLOOKUP($M$25,$A$4:$U$18,10),"FALSE")))))))</f>
        <v>0</v>
      </c>
      <c r="N29" s="48" t="s">
        <v>68</v>
      </c>
      <c r="O29" s="41">
        <f>'R-410A_Calculator'!D35</f>
        <v>8</v>
      </c>
      <c r="P29" s="61" t="s">
        <v>188</v>
      </c>
      <c r="R29" s="54"/>
      <c r="S29" s="41" t="b">
        <f>IF(S28="FALSE",IF(R28="45° Std Elbow",VLOOKUP($S$25,$A$4:$U$18,5),IF(R28="45° Street Elbow",VLOOKUP($S$25,$A$4:$U$18,6),IF(R28="180° Std Elbow",VLOOKUP($S$25,$A$4:$U$18,7),IF(R28="Flow Through Branch",VLOOKUP($S$25,$A$4:$U$18,8),IF(R28="Straight-Through Flow No Reduction",VLOOKUP($S$25,$A$4:$U$18,9),IF(R28="Straight-Through Flow Reduced 1/4",VLOOKUP($S$25,$A$4:$U$18,10),"FALSE")))))))</f>
        <v>0</v>
      </c>
      <c r="T29" s="48" t="s">
        <v>68</v>
      </c>
      <c r="U29" s="41">
        <f>'R-410A_Calculator'!D77</f>
        <v>8</v>
      </c>
      <c r="V29" s="61" t="s">
        <v>188</v>
      </c>
      <c r="X29" s="54"/>
      <c r="Y29" s="41" t="b">
        <f>IF(Y28="FALSE",IF(X28="45° Std Elbow",VLOOKUP($Y$25,$A$4:$U$18,5),IF(X28="45° Street Elbow",VLOOKUP($Y$25,$A$4:$U$18,6),IF(X28="180° Std Elbow",VLOOKUP($Y$25,$A$4:$U$18,7),IF(X28="Flow Through Branch",VLOOKUP($Y$25,$A$4:$U$18,8),IF(X28="Straight-Through Flow No Reduction",VLOOKUP($Y$25,$A$4:$U$18,9),IF(X28="Straight-Through Flow Reduced 1/4",VLOOKUP($Y$25,$A$4:$U$18,10),"FALSE")))))))</f>
        <v>0</v>
      </c>
      <c r="Z29" s="48" t="s">
        <v>68</v>
      </c>
      <c r="AA29" s="41">
        <f>'R-410A_Calculator'!D67</f>
        <v>8</v>
      </c>
      <c r="AB29" s="61" t="s">
        <v>188</v>
      </c>
    </row>
    <row r="30" spans="1:28" x14ac:dyDescent="0.2">
      <c r="A30" s="54"/>
      <c r="B30" s="41" t="b">
        <f>IF(B29="FALSE",IF(A28="Straight-Through Flow  Reduced 1/2",VLOOKUP($B$25,$A$4:$U$18,11),IF(A28="Globe or Solenoid Valve",VLOOKUP($B$25,$A$4:$U$18,12),IF(A28="60°  Wye Valve",VLOOKUP($B$25,$A$4:$U$18,13),IF(A28="45°  Wye Valve",VLOOKUP($B$25,$A$4:$U$18,14),IF(A28="Angle Valve",VLOOKUP($B$25,$A$4:$U$18,15),IF(A28="Gate Valve",VLOOKUP($B$25,$A$4:$U$18,16),"FALSE")))))))</f>
        <v>0</v>
      </c>
      <c r="C30" s="48" t="s">
        <v>67</v>
      </c>
      <c r="D30" s="41">
        <f>IF(D28="Enter Value","No Data",D28*D29)</f>
        <v>12</v>
      </c>
      <c r="E30" s="3" t="s">
        <v>187</v>
      </c>
      <c r="G30" s="41" t="str">
        <f>IF(G29="FALSE",IF(F28="Straight-Through Flow  Reduced 1/2",VLOOKUP($B$25,$A$4:$U$18,11),IF(F28="Globe or Solenoid Valve",VLOOKUP($B$25,$A$4:$U$18,12),IF(F28="60°  Wye Valve",VLOOKUP($B$25,$A$4:$U$18,13),IF(F28="45°  Wye Valve",VLOOKUP($B$25,$A$4:$U$18,14),IF(F28="Angle Valve",VLOOKUP($B$25,$A$4:$U$18,15),IF(F28="Gate Valve",VLOOKUP($B$25,$A$4:$U$18,16),"FALSE")))))))</f>
        <v>FALSE</v>
      </c>
      <c r="H30" s="48" t="s">
        <v>67</v>
      </c>
      <c r="I30" s="41">
        <f>IF(I28="Enter Value","No Data",I28*I29)</f>
        <v>1.1000000000000001</v>
      </c>
      <c r="J30" s="61" t="s">
        <v>187</v>
      </c>
      <c r="L30" s="54"/>
      <c r="M30" s="41" t="b">
        <f>IF(M29="FALSE",IF(L28="Straight-Through Flow  Reduced 1/2",VLOOKUP($M$25,$A$4:$U$18,11),IF(L28="Globe or Solenoid Valve",VLOOKUP($M$25,$A$4:$U$18,12),IF(L28="60°  Wye Valve",VLOOKUP($M$25,$A$4:$U$18,13),IF(L28="45°  Wye Valve",VLOOKUP($M$25,$A$4:$U$18,14),IF(L28="Angle Valve",VLOOKUP($M$25,$A$4:$U$18,15),IF(L28="Gate Valve",VLOOKUP($M$25,$A$4:$U$18,16),"FALSE")))))))</f>
        <v>0</v>
      </c>
      <c r="N30" s="48" t="s">
        <v>67</v>
      </c>
      <c r="O30" s="41">
        <f>IF(O28="Enter Value","No Data",O28*O29)</f>
        <v>26.4</v>
      </c>
      <c r="P30" s="61" t="s">
        <v>187</v>
      </c>
      <c r="R30" s="54"/>
      <c r="S30" s="41" t="b">
        <f>IF(S29="FALSE",IF(R28="Straight-Through Flow  Reduced 1/2",VLOOKUP($S$25,$A$4:$U$18,11),IF(R28="Globe or Solenoid Valve",VLOOKUP($S$25,$A$4:$U$18,12),IF(R28="60°  Wye Valve",VLOOKUP($S$25,$A$4:$U$18,13),IF(R28="45°  Wye Valve",VLOOKUP($S$25,$A$4:$U$18,14),IF(R28="Angle Valve",VLOOKUP($S$25,$A$4:$U$18,15),IF(R28="Gate Valve",VLOOKUP($S$25,$A$4:$U$18,16),"FALSE")))))))</f>
        <v>0</v>
      </c>
      <c r="T30" s="48" t="s">
        <v>67</v>
      </c>
      <c r="U30" s="41">
        <f>IF(U28="Enter Value","No Data",U28*U29)</f>
        <v>26.4</v>
      </c>
      <c r="V30" s="61" t="s">
        <v>187</v>
      </c>
      <c r="X30" s="54"/>
      <c r="Y30" s="41" t="b">
        <f>IF(Y29="FALSE",IF(X28="Straight-Through Flow  Reduced 1/2",VLOOKUP($Y$25,$A$4:$U$18,11),IF(X28="Globe or Solenoid Valve",VLOOKUP($Y$25,$A$4:$U$18,12),IF(X28="60°  Wye Valve",VLOOKUP($Y$25,$A$4:$U$18,13),IF(X28="45°  Wye Valve",VLOOKUP($Y$25,$A$4:$U$18,14),IF(X28="Angle Valve",VLOOKUP($Y$25,$A$4:$U$18,15),IF(X28="Gate Valve",VLOOKUP($Y$25,$A$4:$U$18,16),"FALSE")))))))</f>
        <v>0</v>
      </c>
      <c r="Z30" s="48" t="s">
        <v>67</v>
      </c>
      <c r="AA30" s="41">
        <f>IF(AA28="Enter Value","No Data",AA28*AA29)</f>
        <v>11.2</v>
      </c>
      <c r="AB30" s="61" t="s">
        <v>187</v>
      </c>
    </row>
    <row r="31" spans="1:28" x14ac:dyDescent="0.2">
      <c r="A31" s="54"/>
      <c r="B31" s="41" t="b">
        <f>IF(B30="FALSE",IF(A28="Swing Check",VLOOKUP($B$25,$A$4:$U$18,17),IF(A28="Sight Glass",VLOOKUP($B$25,$A$4:$U$18,18),IF(A28="Filter Drier",VLOOKUP($B$25,$A$4:$U$18,19),IF(A28="Suction Filter",VLOOKUP($B$25,$A$4:$U$18,20),IF(A28="Other",VLOOKUP($B$25,$A$4:$U$18,21),"FALSE"))))))</f>
        <v>0</v>
      </c>
      <c r="C31" s="48" t="s">
        <v>66</v>
      </c>
      <c r="G31" s="41">
        <f>IF(G30="FALSE",IF(F28="Swing Check",VLOOKUP($B$25,$A$4:$U$18,17),IF(F28="Sight Glass",VLOOKUP($B$25,$A$4:$U$18,18),IF(F28="Filter Drier",VLOOKUP($B$25,$A$4:$U$18,19),IF(F28="Suction Filter",VLOOKUP($B$25,$A$4:$U$18,20),IF(F28="Other",VLOOKUP($B$25,$A$4:$U$18,21),"FALSE"))))))</f>
        <v>1.1000000000000001</v>
      </c>
      <c r="H31" s="48" t="s">
        <v>66</v>
      </c>
      <c r="J31" s="55"/>
      <c r="L31" s="54"/>
      <c r="M31" s="41" t="b">
        <f>IF(M30="FALSE",IF(L28="Swing Check",VLOOKUP($M$25,$A$4:$U$18,17),IF(L28="Sight Glass",VLOOKUP($M$25,$A$4:$U$18,18),IF(L28="Filter Drier",VLOOKUP($M$25,$A$4:$U$18,19),IF(L28="Suction Filter",VLOOKUP($M$25,$A$4:$U$18,20),IF(L28="Other",VLOOKUP($M$25,$A$4:$U$18,21),"FALSE"))))))</f>
        <v>0</v>
      </c>
      <c r="N31" s="48" t="s">
        <v>66</v>
      </c>
      <c r="P31" s="55"/>
      <c r="R31" s="54"/>
      <c r="S31" s="41" t="b">
        <f>IF(S30="FALSE",IF(R28="Swing Check",VLOOKUP($S$25,$A$4:$U$18,17),IF(R28="Sight Glass",VLOOKUP($S$25,$A$4:$U$18,18),IF(R28="Filter Drier",VLOOKUP($S$25,$A$4:$U$18,19),IF(R28="Suction Filter",VLOOKUP($S$25,$A$4:$U$18,20),IF(R28="Other",VLOOKUP($S$25,$A$4:$U$18,21),"FALSE"))))))</f>
        <v>0</v>
      </c>
      <c r="T31" s="48" t="s">
        <v>66</v>
      </c>
      <c r="V31" s="55"/>
      <c r="X31" s="54"/>
      <c r="Y31" s="41" t="b">
        <f>IF(Y30="FALSE",IF(X28="Swing Check",VLOOKUP($Y$25,$A$4:$U$18,17),IF(X28="Sight Glass",VLOOKUP($Y$25,$A$4:$U$18,18),IF(X28="Filter Drier",VLOOKUP($Y$25,$A$4:$U$18,19),IF(X28="Suction Filter",VLOOKUP($Y$25,$A$4:$U$18,20),IF(X28="Other",VLOOKUP($Y$25,$A$4:$U$18,21),"FALSE"))))))</f>
        <v>0</v>
      </c>
      <c r="Z31" s="48" t="s">
        <v>66</v>
      </c>
      <c r="AB31" s="55"/>
    </row>
    <row r="32" spans="1:28" x14ac:dyDescent="0.2">
      <c r="A32" s="54"/>
      <c r="J32" s="55"/>
      <c r="L32" s="54"/>
      <c r="P32" s="55"/>
      <c r="R32" s="54"/>
      <c r="V32" s="55"/>
      <c r="X32" s="54"/>
      <c r="AB32" s="55"/>
    </row>
    <row r="33" spans="1:28" x14ac:dyDescent="0.2">
      <c r="A33" s="280" t="s">
        <v>80</v>
      </c>
      <c r="B33" s="281"/>
      <c r="C33" s="281"/>
      <c r="D33" s="281"/>
      <c r="F33" s="281" t="s">
        <v>83</v>
      </c>
      <c r="G33" s="281"/>
      <c r="H33" s="281"/>
      <c r="I33" s="281"/>
      <c r="J33" s="55"/>
      <c r="L33" s="280" t="s">
        <v>80</v>
      </c>
      <c r="M33" s="281"/>
      <c r="N33" s="281"/>
      <c r="O33" s="281"/>
      <c r="P33" s="55"/>
      <c r="Q33" s="3"/>
      <c r="R33" s="280" t="s">
        <v>80</v>
      </c>
      <c r="S33" s="281"/>
      <c r="T33" s="281"/>
      <c r="U33" s="281"/>
      <c r="V33" s="55"/>
      <c r="X33" s="280" t="s">
        <v>80</v>
      </c>
      <c r="Y33" s="281"/>
      <c r="Z33" s="281"/>
      <c r="AA33" s="281"/>
      <c r="AB33" s="55"/>
    </row>
    <row r="34" spans="1:28" x14ac:dyDescent="0.2">
      <c r="A34" s="56" t="str">
        <f>'R-410A_Calculator'!C21</f>
        <v>45° Std Elbow</v>
      </c>
      <c r="B34" s="41" t="str">
        <f>IF(A34="Click here to select fitting.",0,IF(A34="90° Std Elbow",VLOOKUP($B$25,$A$4:$U$18,2),IF(A34="90° Long Radius Elbow",VLOOKUP($B$25,$A$4:$U$18,3),IF(A34="90° Street Elbow",VLOOKUP($B$25,$A$4:$U$18,4),"FALSE"))))</f>
        <v>FALSE</v>
      </c>
      <c r="C34" s="48" t="s">
        <v>69</v>
      </c>
      <c r="D34" s="41">
        <f>IF(MAX(B34:B37)&lt;0,"Enter Value",MAX(B34:B37))</f>
        <v>0.75</v>
      </c>
      <c r="E34" s="3" t="s">
        <v>187</v>
      </c>
      <c r="F34" s="41" t="str">
        <f>'R-410A_Calculator'!C24</f>
        <v>Filter Drier</v>
      </c>
      <c r="G34" s="41" t="str">
        <f>IF(F34="Click here to select fitting.",0,IF(F34="90° Std Elbow",VLOOKUP($B$25,$A$4:$U$18,2),IF(F34="90° Long Radius Elbow",VLOOKUP($B$25,$A$4:$U$18,3),IF(F34="90° Street Elbow",VLOOKUP($B$25,$A$4:$U$18,4),"FALSE"))))</f>
        <v>FALSE</v>
      </c>
      <c r="H34" s="48" t="s">
        <v>69</v>
      </c>
      <c r="I34" s="41">
        <f>IF(MAX(G34:G37)&lt;0,"Enter Value",MAX(G34:G37))</f>
        <v>13.5</v>
      </c>
      <c r="J34" s="61" t="s">
        <v>187</v>
      </c>
      <c r="L34" s="56" t="str">
        <f>'R-410A_Calculator'!C36</f>
        <v>45° Std Elbow</v>
      </c>
      <c r="M34" s="41" t="str">
        <f>IF(L34="Click here to select fitting.",0,IF(L34="90° Std Elbow",VLOOKUP($M$25,$A$4:$U$18,2),IF(L34="90° Long Radius Elbow",VLOOKUP($M$25,$A$4:$U$18,3),IF(L34="90° Street Elbow",VLOOKUP($M$25,$A$4:$U$18,4),"FALSE"))))</f>
        <v>FALSE</v>
      </c>
      <c r="N34" s="48" t="s">
        <v>69</v>
      </c>
      <c r="O34" s="41">
        <f>IF(MAX(M34:M37)&lt;0,"Enter Value",MAX(M34:M37))</f>
        <v>1.7</v>
      </c>
      <c r="P34" s="61" t="s">
        <v>187</v>
      </c>
      <c r="R34" s="56" t="str">
        <f>'R-410A_Calculator'!C78</f>
        <v>45° Std Elbow</v>
      </c>
      <c r="S34" s="41" t="str">
        <f>IF(R34="Click here to select fitting.",0,IF(R34="90° Std Elbow",VLOOKUP($S$25,$A$4:$U$18,2),IF(R34="90° Long Radius Elbow",VLOOKUP($S$25,$A$4:$U$18,3),IF(R34="90° Street Elbow",VLOOKUP($S$25,$A$4:$U$18,4),"FALSE"))))</f>
        <v>FALSE</v>
      </c>
      <c r="T34" s="48" t="s">
        <v>69</v>
      </c>
      <c r="U34" s="41">
        <f>IF(MAX(S34:S37)&lt;0,"Enter Value",MAX(S34:S37))</f>
        <v>1.7</v>
      </c>
      <c r="V34" s="61" t="s">
        <v>187</v>
      </c>
      <c r="X34" s="56" t="str">
        <f>'R-410A_Calculator'!C68</f>
        <v>45° Std Elbow</v>
      </c>
      <c r="Y34" s="41" t="str">
        <f>IF(X34="Click here to select fitting.",0,IF(X34="90° Std Elbow",VLOOKUP($Y$25,$A$4:$U$18,2),IF(X34="90° Long Radius Elbow",VLOOKUP($Y$25,$A$4:$U$18,3),IF(X34="90° Street Elbow",VLOOKUP($Y$25,$A$4:$U$18,4),"FALSE"))))</f>
        <v>FALSE</v>
      </c>
      <c r="Z34" s="48" t="s">
        <v>69</v>
      </c>
      <c r="AA34" s="41">
        <f>IF(MAX(Y34:Y37)&lt;0,"Enter Value",MAX(Y34:Y37))</f>
        <v>0.7</v>
      </c>
      <c r="AB34" s="61" t="s">
        <v>187</v>
      </c>
    </row>
    <row r="35" spans="1:28" x14ac:dyDescent="0.2">
      <c r="A35" s="54"/>
      <c r="B35" s="41">
        <f>IF(B34="FALSE",IF(A34="45° Std Elbow",VLOOKUP($B$25,$A$4:$U$18,5),IF(A34="45° Street Elbow",VLOOKUP($B$25,$A$4:$U$18,6),IF(A34="180° Std Elbow",VLOOKUP($B$25,$A$4:$U$18,7),IF(A34="Flow Through Branch",VLOOKUP($B$25,$A$4:$U$18,8),IF(A34="Straight-Through Flow No Reduction",VLOOKUP($B$25,$A$4:$U$18,9),IF(A34="Straight-Through Flow Reduced 1/4",VLOOKUP($B$25,$A$4:$U$18,10),"FALSE")))))))</f>
        <v>0.75</v>
      </c>
      <c r="C35" s="48" t="s">
        <v>68</v>
      </c>
      <c r="D35" s="41">
        <f>'R-410A_Calculator'!D21</f>
        <v>0</v>
      </c>
      <c r="E35" s="3" t="s">
        <v>188</v>
      </c>
      <c r="G35" s="41" t="str">
        <f>IF(G34="FALSE",IF(F34="45° Std Elbow",VLOOKUP($B$25,$A$4:$U$18,5),IF(F34="45° Street Elbow",VLOOKUP($B$25,$A$4:$U$18,6),IF(F34="180° Std Elbow",VLOOKUP($B$25,$A$4:$U$18,7),IF(F34="Flow Through Branch",VLOOKUP($B$25,$A$4:$U$18,8),IF(F34="Straight-Through Flow No Reduction",VLOOKUP($B$25,$A$4:$U$18,9),IF(F34="Straight-Through Flow Reduced 1/4",VLOOKUP($B$25,$A$4:$U$18,10),"FALSE")))))))</f>
        <v>FALSE</v>
      </c>
      <c r="H35" s="48" t="s">
        <v>68</v>
      </c>
      <c r="I35" s="41">
        <f>'R-410A_Calculator'!D24</f>
        <v>1</v>
      </c>
      <c r="J35" s="61" t="s">
        <v>188</v>
      </c>
      <c r="L35" s="54"/>
      <c r="M35" s="41">
        <f>IF(M34="FALSE",IF(L34="45° Std Elbow",VLOOKUP($M$25,$A$4:$U$18,5),IF(L34="45° Street Elbow",VLOOKUP($M$25,$A$4:$U$18,6),IF(L34="180° Std Elbow",VLOOKUP($M$25,$A$4:$U$18,7),IF(L34="Flow Through Branch",VLOOKUP($M$25,$A$4:$U$18,8),IF(L34="Straight-Through Flow No Reduction",VLOOKUP($M$25,$A$4:$U$18,9),IF(L34="Straight-Through Flow Reduced 1/4",VLOOKUP($M$25,$A$4:$U$18,10),"FALSE")))))))</f>
        <v>1.7</v>
      </c>
      <c r="N35" s="48" t="s">
        <v>68</v>
      </c>
      <c r="O35" s="41">
        <f>'R-410A_Calculator'!D36</f>
        <v>0</v>
      </c>
      <c r="P35" s="61" t="s">
        <v>188</v>
      </c>
      <c r="R35" s="54"/>
      <c r="S35" s="41">
        <f>IF(S34="FALSE",IF(R34="45° Std Elbow",VLOOKUP($S$25,$A$4:$U$18,5),IF(R34="45° Street Elbow",VLOOKUP($S$25,$A$4:$U$18,6),IF(R34="180° Std Elbow",VLOOKUP($S$25,$A$4:$U$18,7),IF(R34="Flow Through Branch",VLOOKUP($S$25,$A$4:$U$18,8),IF(R34="Straight-Through Flow No Reduction",VLOOKUP($S$25,$A$4:$U$18,9),IF(R34="Straight-Through Flow Reduced 1/4",VLOOKUP($S$25,$A$4:$U$18,10),"FALSE")))))))</f>
        <v>1.7</v>
      </c>
      <c r="T35" s="48" t="s">
        <v>68</v>
      </c>
      <c r="U35" s="41">
        <f>'R-410A_Calculator'!D78</f>
        <v>0</v>
      </c>
      <c r="V35" s="61" t="s">
        <v>188</v>
      </c>
      <c r="X35" s="54"/>
      <c r="Y35" s="41">
        <f>IF(Y34="FALSE",IF(X34="45° Std Elbow",VLOOKUP($Y$25,$A$4:$U$18,5),IF(X34="45° Street Elbow",VLOOKUP($Y$25,$A$4:$U$18,6),IF(X34="180° Std Elbow",VLOOKUP($Y$25,$A$4:$U$18,7),IF(X34="Flow Through Branch",VLOOKUP($Y$25,$A$4:$U$18,8),IF(X34="Straight-Through Flow No Reduction",VLOOKUP($Y$25,$A$4:$U$18,9),IF(X34="Straight-Through Flow Reduced 1/4",VLOOKUP($Y$25,$A$4:$U$18,10),"FALSE")))))))</f>
        <v>0.7</v>
      </c>
      <c r="Z35" s="48" t="s">
        <v>68</v>
      </c>
      <c r="AA35" s="41">
        <f>'R-410A_Calculator'!D68</f>
        <v>0</v>
      </c>
      <c r="AB35" s="61" t="s">
        <v>188</v>
      </c>
    </row>
    <row r="36" spans="1:28" x14ac:dyDescent="0.2">
      <c r="A36" s="54"/>
      <c r="B36" s="41" t="b">
        <f>IF(B35="FALSE",IF(A34="Straight-Through Flow  Reduced 1/2",VLOOKUP($B$25,$A$4:$U$18,11),IF(A34="Globe or Solenoid Valve",VLOOKUP($B$25,$A$4:$U$18,12),IF(A34="60°  Wye Valve",VLOOKUP($B$25,$A$4:$U$18,13),IF(A34="45°  Wye Valve",VLOOKUP($B$25,$A$4:$U$18,14),IF(A34="Angle Valve",VLOOKUP($B$25,$A$4:$U$18,15),IF(A34="Gate Valve",VLOOKUP($B$25,$A$4:$U$18,16),"FALSE")))))))</f>
        <v>0</v>
      </c>
      <c r="C36" s="48" t="s">
        <v>67</v>
      </c>
      <c r="D36" s="41">
        <f>IF(D34="Enter Value","No Data",D34*D35)</f>
        <v>0</v>
      </c>
      <c r="E36" s="3" t="s">
        <v>187</v>
      </c>
      <c r="G36" s="41" t="str">
        <f>IF(G35="FALSE",IF(F34="Straight-Through Flow  Reduced 1/2",VLOOKUP($B$25,$A$4:$U$18,11),IF(F34="Globe or Solenoid Valve",VLOOKUP($B$25,$A$4:$U$18,12),IF(F34="60°  Wye Valve",VLOOKUP($B$25,$A$4:$U$18,13),IF(F34="45°  Wye Valve",VLOOKUP($B$25,$A$4:$U$18,14),IF(F34="Angle Valve",VLOOKUP($B$25,$A$4:$U$18,15),IF(F34="Gate Valve",VLOOKUP($B$25,$A$4:$U$18,16),"FALSE")))))))</f>
        <v>FALSE</v>
      </c>
      <c r="H36" s="48" t="s">
        <v>67</v>
      </c>
      <c r="I36" s="41">
        <f>IF(I34="Enter Value","No Data",I34*I35)</f>
        <v>13.5</v>
      </c>
      <c r="J36" s="61" t="s">
        <v>187</v>
      </c>
      <c r="L36" s="54"/>
      <c r="M36" s="41" t="b">
        <f>IF(M35="FALSE",IF(L34="Straight-Through Flow  Reduced 1/2",VLOOKUP($M$25,$A$4:$U$18,11),IF(L34="Globe or Solenoid Valve",VLOOKUP($M$25,$A$4:$U$18,12),IF(L34="60°  Wye Valve",VLOOKUP($M$25,$A$4:$U$18,13),IF(L34="45°  Wye Valve",VLOOKUP($M$25,$A$4:$U$18,14),IF(L34="Angle Valve",VLOOKUP($M$25,$A$4:$U$18,15),IF(L34="Gate Valve",VLOOKUP($M$25,$A$4:$U$18,16),"FALSE")))))))</f>
        <v>0</v>
      </c>
      <c r="N36" s="48" t="s">
        <v>67</v>
      </c>
      <c r="O36" s="41">
        <f>IF(O34="Enter Value","No Data",O34*O35)</f>
        <v>0</v>
      </c>
      <c r="P36" s="61" t="s">
        <v>187</v>
      </c>
      <c r="R36" s="54"/>
      <c r="S36" s="41" t="b">
        <f>IF(S35="FALSE",IF(R34="Straight-Through Flow  Reduced 1/2",VLOOKUP($S$25,$A$4:$U$18,11),IF(R34="Globe or Solenoid Valve",VLOOKUP($S$25,$A$4:$U$18,12),IF(R34="60°  Wye Valve",VLOOKUP($S$25,$A$4:$U$18,13),IF(R34="45°  Wye Valve",VLOOKUP($S$25,$A$4:$U$18,14),IF(R34="Angle Valve",VLOOKUP($S$25,$A$4:$U$18,15),IF(R34="Gate Valve",VLOOKUP($S$25,$A$4:$U$18,16),"FALSE")))))))</f>
        <v>0</v>
      </c>
      <c r="T36" s="48" t="s">
        <v>67</v>
      </c>
      <c r="U36" s="41">
        <f>IF(U34="Enter Value","No Data",U34*U35)</f>
        <v>0</v>
      </c>
      <c r="V36" s="61" t="s">
        <v>187</v>
      </c>
      <c r="X36" s="54"/>
      <c r="Y36" s="41" t="b">
        <f>IF(Y35="FALSE",IF(X34="Straight-Through Flow  Reduced 1/2",VLOOKUP($Y$25,$A$4:$U$18,11),IF(X34="Globe or Solenoid Valve",VLOOKUP($Y$25,$A$4:$U$18,12),IF(X34="60°  Wye Valve",VLOOKUP($Y$25,$A$4:$U$18,13),IF(X34="45°  Wye Valve",VLOOKUP($Y$25,$A$4:$U$18,14),IF(X34="Angle Valve",VLOOKUP($Y$25,$A$4:$U$18,15),IF(X34="Gate Valve",VLOOKUP($Y$25,$A$4:$U$18,16),"FALSE")))))))</f>
        <v>0</v>
      </c>
      <c r="Z36" s="48" t="s">
        <v>67</v>
      </c>
      <c r="AA36" s="41">
        <f>IF(AA34="Enter Value","No Data",AA34*AA35)</f>
        <v>0</v>
      </c>
      <c r="AB36" s="61" t="s">
        <v>187</v>
      </c>
    </row>
    <row r="37" spans="1:28" x14ac:dyDescent="0.2">
      <c r="A37" s="54"/>
      <c r="B37" s="41" t="b">
        <f>IF(B36="FALSE",IF(A34="Swing Check",VLOOKUP($B$25,$A$4:$U$18,17),IF(A34="Sight Glass",VLOOKUP($B$25,$A$4:$U$18,18),IF(A34="Filter Drier",VLOOKUP($B$25,$A$4:$U$18,19),IF(A34="Suction Filter",VLOOKUP($B$25,$A$4:$U$18,20),IF(A34="Other",VLOOKUP($B$25,$A$4:$U$18,21),"FALSE"))))))</f>
        <v>0</v>
      </c>
      <c r="C37" s="48" t="s">
        <v>66</v>
      </c>
      <c r="G37" s="41">
        <f>IF(G36="FALSE",IF(F34="Swing Check",VLOOKUP($B$25,$A$4:$U$18,17),IF(F34="Sight Glass",VLOOKUP($B$25,$A$4:$U$18,18),IF(F34="Filter Drier",VLOOKUP($B$25,$A$4:$U$18,19),IF(F34="Suction Filter",VLOOKUP($B$25,$A$4:$U$18,20),IF(F34="Other",VLOOKUP($B$25,$A$4:$U$18,21),"FALSE"))))))</f>
        <v>13.5</v>
      </c>
      <c r="H37" s="48" t="s">
        <v>66</v>
      </c>
      <c r="J37" s="55"/>
      <c r="L37" s="54"/>
      <c r="M37" s="41" t="b">
        <f>IF(M36="FALSE",IF(L34="Swing Check",VLOOKUP($M$25,$A$4:$U$18,17),IF(L34="Sight Glass",VLOOKUP($M$25,$A$4:$U$18,18),IF(L34="Filter Drier",VLOOKUP($M$25,$A$4:$U$18,19),IF(L34="Suction Filter",VLOOKUP($M$25,$A$4:$U$18,20),IF(L34="Other",VLOOKUP($M$25,$A$4:$U$18,21),"FALSE"))))))</f>
        <v>0</v>
      </c>
      <c r="N37" s="48" t="s">
        <v>66</v>
      </c>
      <c r="P37" s="55"/>
      <c r="R37" s="54"/>
      <c r="S37" s="41" t="b">
        <f>IF(S36="FALSE",IF(R34="Swing Check",VLOOKUP($S$25,$A$4:$U$18,17),IF(R34="Sight Glass",VLOOKUP($S$25,$A$4:$U$18,18),IF(R34="Filter Drier",VLOOKUP($S$25,$A$4:$U$18,19),IF(R34="Suction Filter",VLOOKUP($S$25,$A$4:$U$18,20),IF(R34="Other",VLOOKUP($S$25,$A$4:$U$18,21),"FALSE"))))))</f>
        <v>0</v>
      </c>
      <c r="T37" s="48" t="s">
        <v>66</v>
      </c>
      <c r="V37" s="55"/>
      <c r="X37" s="54"/>
      <c r="Y37" s="41" t="b">
        <f>IF(Y36="FALSE",IF(X34="Swing Check",VLOOKUP($Y$25,$A$4:$U$18,17),IF(X34="Sight Glass",VLOOKUP($Y$25,$A$4:$U$18,18),IF(X34="Filter Drier",VLOOKUP($Y$25,$A$4:$U$18,19),IF(X34="Suction Filter",VLOOKUP($Y$25,$A$4:$U$18,20),IF(X34="Other",VLOOKUP($Y$25,$A$4:$U$18,21),"FALSE"))))))</f>
        <v>0</v>
      </c>
      <c r="Z37" s="48" t="s">
        <v>66</v>
      </c>
      <c r="AB37" s="55"/>
    </row>
    <row r="38" spans="1:28" x14ac:dyDescent="0.2">
      <c r="A38" s="54"/>
      <c r="J38" s="55"/>
      <c r="L38" s="54"/>
      <c r="P38" s="55"/>
      <c r="R38" s="54"/>
      <c r="V38" s="55"/>
      <c r="X38" s="54"/>
      <c r="AB38" s="55"/>
    </row>
    <row r="39" spans="1:28" x14ac:dyDescent="0.2">
      <c r="A39" s="280" t="s">
        <v>81</v>
      </c>
      <c r="B39" s="281"/>
      <c r="C39" s="281"/>
      <c r="D39" s="281"/>
      <c r="F39" s="281" t="s">
        <v>84</v>
      </c>
      <c r="G39" s="281"/>
      <c r="H39" s="281"/>
      <c r="I39" s="281"/>
      <c r="J39" s="55"/>
      <c r="L39" s="280" t="s">
        <v>81</v>
      </c>
      <c r="M39" s="281"/>
      <c r="N39" s="281"/>
      <c r="O39" s="281"/>
      <c r="P39" s="55"/>
      <c r="Q39" s="3"/>
      <c r="R39" s="280" t="s">
        <v>81</v>
      </c>
      <c r="S39" s="281"/>
      <c r="T39" s="281"/>
      <c r="U39" s="281"/>
      <c r="V39" s="55"/>
      <c r="X39" s="280" t="s">
        <v>81</v>
      </c>
      <c r="Y39" s="281"/>
      <c r="Z39" s="281"/>
      <c r="AA39" s="281"/>
      <c r="AB39" s="55"/>
    </row>
    <row r="40" spans="1:28" x14ac:dyDescent="0.2">
      <c r="A40" s="56" t="str">
        <f>'R-410A_Calculator'!C22</f>
        <v>Globe or Solenoid Valve</v>
      </c>
      <c r="B40" s="41" t="str">
        <f>IF(A40="Click here to select fitting.",0,IF(A40="90° Std Elbow",VLOOKUP($B$25,$A$4:$U$18,2),IF(A40="90° Long Radius Elbow",VLOOKUP($B$25,$A$4:$U$18,3),IF(A40="90° Street Elbow",VLOOKUP($B$25,$A$4:$U$18,4),"FALSE"))))</f>
        <v>FALSE</v>
      </c>
      <c r="C40" s="48" t="s">
        <v>69</v>
      </c>
      <c r="D40" s="41">
        <f>IF(MAX(B40:B43)&lt;0,"Enter Value",MAX(B40:B43))</f>
        <v>17.5</v>
      </c>
      <c r="E40" s="3" t="s">
        <v>187</v>
      </c>
      <c r="F40" s="41" t="str">
        <f>'R-410A_Calculator'!C25</f>
        <v>Click here to select fitting.</v>
      </c>
      <c r="G40" s="41">
        <f>IF(F40="Click here to select fitting.",0,IF(F40="90° Std Elbow",VLOOKUP($B$25,$A$4:$U$18,2),IF(F40="90° Long Radius Elbow",VLOOKUP($B$25,$A$4:$U$18,3),IF(F40="90° Street Elbow",VLOOKUP($B$25,$A$4:$U$18,4),"FALSE"))))</f>
        <v>0</v>
      </c>
      <c r="H40" s="48" t="s">
        <v>69</v>
      </c>
      <c r="I40" s="41">
        <f>IF(MAX(G40:G43)&lt;0,"Enter Value",MAX(G40:G43))</f>
        <v>0</v>
      </c>
      <c r="J40" s="61" t="s">
        <v>187</v>
      </c>
      <c r="L40" s="56" t="str">
        <f>'R-410A_Calculator'!C37</f>
        <v>Click here to select fitting.</v>
      </c>
      <c r="M40" s="41">
        <f>IF(L40="Click here to select fitting.",0,IF(L40="90° Std Elbow",VLOOKUP($M$25,$A$4:$U$18,2),IF(L40="90° Long Radius Elbow",VLOOKUP($B$25,$A$4:$U$18,3),IF(L40="90° Street Elbow",VLOOKUP($M$25,$A$4:$U$18,4),"FALSE"))))</f>
        <v>0</v>
      </c>
      <c r="N40" s="48" t="s">
        <v>69</v>
      </c>
      <c r="O40" s="41">
        <f>IF(MAX(M40:M43)&lt;0,"Enter Value",MAX(M40:M43))</f>
        <v>0</v>
      </c>
      <c r="P40" s="61" t="s">
        <v>187</v>
      </c>
      <c r="R40" s="56" t="str">
        <f>'R-410A_Calculator'!C79</f>
        <v>Click here to select fitting.</v>
      </c>
      <c r="S40" s="41">
        <f>IF(R40="Click here to select fitting.",0,IF(R40="90° Std Elbow",VLOOKUP($S$25,$A$4:$U$18,2),IF(R40="90° Long Radius Elbow",VLOOKUP($S$25,$A$4:$U$18,3),IF(R40="90° Street Elbow",VLOOKUP($S$25,$A$4:$U$18,4),"FALSE"))))</f>
        <v>0</v>
      </c>
      <c r="T40" s="48" t="s">
        <v>69</v>
      </c>
      <c r="U40" s="41">
        <f>IF(MAX(S40:S43)&lt;0,"Enter Value",MAX(S40:S43))</f>
        <v>0</v>
      </c>
      <c r="V40" s="61" t="s">
        <v>187</v>
      </c>
      <c r="X40" s="56" t="str">
        <f>'R-410A_Calculator'!C69</f>
        <v>Globe or Solenoid Valve</v>
      </c>
      <c r="Y40" s="41" t="str">
        <f>IF(X40="Click here to select fitting.",0,IF(X40="90° Std Elbow",VLOOKUP($Y$25,$A$4:$U$18,2),IF(X40="90° Long Radius Elbow",VLOOKUP($Y$25,$A$4:$U$18,3),IF(X40="90° Street Elbow",VLOOKUP($Y$25,$A$4:$U$18,4),"FALSE"))))</f>
        <v>FALSE</v>
      </c>
      <c r="Z40" s="48" t="s">
        <v>69</v>
      </c>
      <c r="AA40" s="41">
        <f>IF(MAX(Y40:Y43)&lt;0,"Enter Value",MAX(Y40:Y43))</f>
        <v>17</v>
      </c>
      <c r="AB40" s="61" t="s">
        <v>187</v>
      </c>
    </row>
    <row r="41" spans="1:28" x14ac:dyDescent="0.2">
      <c r="A41" s="54"/>
      <c r="B41" s="41" t="str">
        <f>IF(B40="FALSE",IF(A40="45° Std Elbow",VLOOKUP($B$25,$A$4:$U$18,5),IF(A40="45° Street Elbow",VLOOKUP($B$25,$A$4:$U$18,6),IF(A40="180° Std Elbow",VLOOKUP($B$25,$A$4:$U$18,7),IF(A40="Flow Through Branch",VLOOKUP($B$25,$A$4:$U$18,8),IF(A40="Straight-Through Flow No Reduction",VLOOKUP($B$25,$A$4:$U$18,9),IF(A40="Straight-Through Flow Reduced 1/4",VLOOKUP($B$25,$A$4:$U$18,10),"FALSE")))))))</f>
        <v>FALSE</v>
      </c>
      <c r="C41" s="48" t="s">
        <v>68</v>
      </c>
      <c r="D41" s="41">
        <f>'R-410A_Calculator'!D22</f>
        <v>1</v>
      </c>
      <c r="E41" s="3" t="s">
        <v>188</v>
      </c>
      <c r="G41" s="41" t="b">
        <f>IF(G40="FALSE",IF(F40="45° Std Elbow",VLOOKUP($B$25,$A$4:$U$18,5),IF(F40="45° Street Elbow",VLOOKUP($B$25,$A$4:$U$18,6),IF(F40="180° Std Elbow",VLOOKUP($B$25,$A$4:$U$18,7),IF(F40="Flow Through Branch",VLOOKUP($B$25,$A$4:$U$18,8),IF(F40="Straight-Through Flow No Reduction",VLOOKUP($B$25,$A$4:$U$18,9),IF(F40="Straight-Through Flow Reduced 1/4",VLOOKUP($B$25,$A$4:$U$18,10),"FALSE")))))))</f>
        <v>0</v>
      </c>
      <c r="H41" s="48" t="s">
        <v>68</v>
      </c>
      <c r="I41" s="41">
        <f>'R-410A_Calculator'!D25</f>
        <v>0</v>
      </c>
      <c r="J41" s="61" t="s">
        <v>188</v>
      </c>
      <c r="L41" s="54"/>
      <c r="M41" s="41" t="b">
        <f>IF(M40="FALSE",IF(L40="45° Std Elbow",VLOOKUP($M$25,$A$4:$U$18,5),IF(L40="45° Street Elbow",VLOOKUP($M$25,$A$4:$U$18,6),IF(L40="180° Std Elbow",VLOOKUP($M$25,$A$4:$U$18,7),IF(L40="Flow Through Branch",VLOOKUP($M$25,$A$4:$U$18,8),IF(L40="Straight-Through Flow No Reduction",VLOOKUP($M$25,$A$4:$U$18,9),IF(L40="Straight-Through Flow Reduced 1/4",VLOOKUP($M$25,$A$4:$U$18,10),"FALSE")))))))</f>
        <v>0</v>
      </c>
      <c r="N41" s="48" t="s">
        <v>68</v>
      </c>
      <c r="O41" s="41">
        <f>'R-410A_Calculator'!D37</f>
        <v>0</v>
      </c>
      <c r="P41" s="61" t="s">
        <v>188</v>
      </c>
      <c r="R41" s="54"/>
      <c r="S41" s="41" t="b">
        <f>IF(S40="FALSE",IF(R40="45° Std Elbow",VLOOKUP($S$25,$A$4:$U$18,5),IF(R40="45° Street Elbow",VLOOKUP($S$25,$A$4:$U$18,6),IF(R40="180° Std Elbow",VLOOKUP($S$25,$A$4:$U$18,7),IF(R40="Flow Through Branch",VLOOKUP($S$25,$A$4:$U$18,8),IF(R40="Straight-Through Flow No Reduction",VLOOKUP($S$25,$A$4:$U$18,9),IF(R40="Straight-Through Flow Reduced 1/4",VLOOKUP($S$25,$A$4:$U$18,10),"FALSE")))))))</f>
        <v>0</v>
      </c>
      <c r="T41" s="48" t="s">
        <v>68</v>
      </c>
      <c r="U41" s="41">
        <f>'R-410A_Calculator'!D79</f>
        <v>0</v>
      </c>
      <c r="V41" s="61" t="s">
        <v>188</v>
      </c>
      <c r="X41" s="54"/>
      <c r="Y41" s="41" t="str">
        <f>IF(Y40="FALSE",IF(X40="45° Std Elbow",VLOOKUP($Y$25,$A$4:$U$18,5),IF(X40="45° Street Elbow",VLOOKUP($Y$25,$A$4:$U$18,6),IF(X40="180° Std Elbow",VLOOKUP($Y$25,$A$4:$U$18,7),IF(X40="Flow Through Branch",VLOOKUP($Y$25,$A$4:$U$18,8),IF(X40="Straight-Through Flow No Reduction",VLOOKUP($Y$25,$A$4:$U$18,9),IF(X40="Straight-Through Flow Reduced 1/4",VLOOKUP($Y$25,$A$4:$U$18,10),"FALSE")))))))</f>
        <v>FALSE</v>
      </c>
      <c r="Z41" s="48" t="s">
        <v>68</v>
      </c>
      <c r="AA41" s="41">
        <f>'R-410A_Calculator'!D69</f>
        <v>1</v>
      </c>
      <c r="AB41" s="61" t="s">
        <v>188</v>
      </c>
    </row>
    <row r="42" spans="1:28" x14ac:dyDescent="0.2">
      <c r="A42" s="54"/>
      <c r="B42" s="41">
        <f>IF(B41="FALSE",IF(A40="Straight-Through Flow  Reduced 1/2",VLOOKUP($B$25,$A$4:$U$18,11),IF(A40="Globe or Solenoid Valve",VLOOKUP($B$25,$A$4:$U$18,12),IF(A40="60°  Wye Valve",VLOOKUP($B$25,$A$4:$U$18,13),IF(A40="45°  Wye Valve",VLOOKUP($B$25,$A$4:$U$18,14),IF(A40="Angle Valve",VLOOKUP($B$25,$A$4:$U$18,15),IF(A40="Gate Valve",VLOOKUP($B$25,$A$4:$U$18,16),"FALSE")))))))</f>
        <v>17.5</v>
      </c>
      <c r="C42" s="48" t="s">
        <v>67</v>
      </c>
      <c r="D42" s="41">
        <f>IF(D40="Enter Value","No Data",D40*D41)</f>
        <v>17.5</v>
      </c>
      <c r="E42" s="3" t="s">
        <v>187</v>
      </c>
      <c r="G42" s="41" t="b">
        <f>IF(G41="FALSE",IF(F40="Straight-Through Flow  Reduced 1/2",VLOOKUP($B$25,$A$4:$U$18,11),IF(F40="Globe or Solenoid Valve",VLOOKUP($B$25,$A$4:$U$18,12),IF(F40="60°  Wye Valve",VLOOKUP($B$25,$A$4:$U$18,13),IF(F40="45°  Wye Valve",VLOOKUP($B$25,$A$4:$U$18,14),IF(F40="Angle Valve",VLOOKUP($B$25,$A$4:$U$18,15),IF(F40="Gate Valve",VLOOKUP($B$25,$A$4:$U$18,16),"FALSE")))))))</f>
        <v>0</v>
      </c>
      <c r="H42" s="48" t="s">
        <v>67</v>
      </c>
      <c r="I42" s="41">
        <f>IF(I40="Enter Value","No Data",I40*I41)</f>
        <v>0</v>
      </c>
      <c r="J42" s="61" t="s">
        <v>187</v>
      </c>
      <c r="L42" s="54"/>
      <c r="M42" s="41" t="b">
        <f>IF(M41="FALSE",IF(L40="Straight-Through Flow  Reduced 1/2",VLOOKUP($M$25,$A$4:$U$18,11),IF(L40="Globe or Solenoid Valve",VLOOKUP($M$25,$A$4:$U$18,12),IF(L40="60°  Wye Valve",VLOOKUP($M$25,$A$4:$U$18,13),IF(L40="45°  Wye Valve",VLOOKUP($M$25,$A$4:$U$18,14),IF(L40="Angle Valve",VLOOKUP($M$25,$A$4:$U$18,15),IF(L40="Gate Valve",VLOOKUP($M$25,$A$4:$U$18,16),"FALSE")))))))</f>
        <v>0</v>
      </c>
      <c r="N42" s="48" t="s">
        <v>67</v>
      </c>
      <c r="O42" s="41">
        <f>IF(O40="Enter Value","No Data",O40*O41)</f>
        <v>0</v>
      </c>
      <c r="P42" s="61" t="s">
        <v>187</v>
      </c>
      <c r="R42" s="54"/>
      <c r="S42" s="41" t="b">
        <f>IF(S41="FALSE",IF(R40="Straight-Through Flow  Reduced 1/2",VLOOKUP($S$25,$A$4:$U$18,11),IF(R40="Globe or Solenoid Valve",VLOOKUP($S$25,$A$4:$U$18,12),IF(R40="60°  Wye Valve",VLOOKUP($S$25,$A$4:$U$18,13),IF(R40="45°  Wye Valve",VLOOKUP($S$25,$A$4:$U$18,14),IF(R40="Angle Valve",VLOOKUP($S$25,$A$4:$U$18,15),IF(R40="Gate Valve",VLOOKUP($S$25,$A$4:$U$18,16),"FALSE")))))))</f>
        <v>0</v>
      </c>
      <c r="T42" s="48" t="s">
        <v>67</v>
      </c>
      <c r="U42" s="41">
        <f>IF(U40="Enter Value","No Data",U40*U41)</f>
        <v>0</v>
      </c>
      <c r="V42" s="61" t="s">
        <v>187</v>
      </c>
      <c r="X42" s="54"/>
      <c r="Y42" s="41">
        <f>IF(Y41="FALSE",IF(X40="Straight-Through Flow  Reduced 1/2",VLOOKUP($Y$25,$A$4:$U$18,11),IF(X40="Globe or Solenoid Valve",VLOOKUP($Y$25,$A$4:$U$18,12),IF(X40="60°  Wye Valve",VLOOKUP($Y$25,$A$4:$U$18,13),IF(X40="45°  Wye Valve",VLOOKUP($Y$25,$A$4:$U$18,14),IF(X40="Angle Valve",VLOOKUP($Y$25,$A$4:$U$18,15),IF(X40="Gate Valve",VLOOKUP($Y$25,$A$4:$U$18,16),"FALSE")))))))</f>
        <v>17</v>
      </c>
      <c r="Z42" s="48" t="s">
        <v>67</v>
      </c>
      <c r="AA42" s="41">
        <f>IF(AA40="Enter Value","No Data",AA40*AA41)</f>
        <v>17</v>
      </c>
      <c r="AB42" s="61" t="s">
        <v>187</v>
      </c>
    </row>
    <row r="43" spans="1:28" ht="12" thickBot="1" x14ac:dyDescent="0.25">
      <c r="A43" s="57"/>
      <c r="B43" s="96" t="b">
        <f>IF(B42="FALSE",IF(A40="Swing Check",VLOOKUP($B$25,$A$4:$U$18,17),IF(A40="Sight Glass",VLOOKUP($B$25,$A$4:$U$18,18),IF(A40="Filter Drier",VLOOKUP($B$25,$A$4:$U$18,19),IF(A40="Suction Filter",VLOOKUP($B$25,$A$4:$U$18,20),IF(A40="Other",VLOOKUP($B$25,$A$4:$U$18,21),"FALSE"))))))</f>
        <v>0</v>
      </c>
      <c r="C43" s="59" t="s">
        <v>66</v>
      </c>
      <c r="D43" s="58"/>
      <c r="E43" s="58"/>
      <c r="F43" s="58"/>
      <c r="G43" s="96" t="b">
        <f>IF(G42="FALSE",IF(F40="Swing Check",VLOOKUP($B$25,$A$4:$U$18,17),IF(F40="Sight Glass",VLOOKUP($B$25,$A$4:$U$18,18),IF(F40="Filter Drier",VLOOKUP($B$25,$A$4:$U$18,19),IF(F40="Suction Filter",VLOOKUP($B$25,$A$4:$U$18,20),IF(F40="Other",VLOOKUP($B$25,$A$4:$U$18,21),"FALSE"))))))</f>
        <v>0</v>
      </c>
      <c r="H43" s="59" t="s">
        <v>66</v>
      </c>
      <c r="I43" s="58"/>
      <c r="J43" s="60"/>
      <c r="L43" s="57"/>
      <c r="M43" s="96" t="b">
        <f>IF(M42="FALSE",IF(L40="Swing Check",VLOOKUP($M$25,$A$4:$U$18,17),IF(L40="Sight Glass",VLOOKUP($M$25,$A$4:$U$18,18),IF(L40="Filter Drier",VLOOKUP($M$25,$A$4:$U$18,19),IF(L40="Suction Filter",VLOOKUP($M$25,$A$4:$U$18,20),IF(L40="Other",VLOOKUP($M$25,$A$4:$U$18,21),"FALSE"))))))</f>
        <v>0</v>
      </c>
      <c r="N43" s="59" t="s">
        <v>66</v>
      </c>
      <c r="O43" s="58"/>
      <c r="P43" s="60"/>
      <c r="R43" s="57"/>
      <c r="S43" s="96" t="b">
        <f>IF(S42="FALSE",IF(R40="Swing Check",VLOOKUP($S$25,$A$4:$U$18,17),IF(R40="Sight Glass",VLOOKUP($S$25,$A$4:$U$18,18),IF(R40="Filter Drier",VLOOKUP($S$25,$A$4:$U$18,19),IF(R40="Suction Filter",VLOOKUP($S$25,$A$4:$U$18,20),IF(R40="Other",VLOOKUP($S$25,$A$4:$U$18,21),"FALSE"))))))</f>
        <v>0</v>
      </c>
      <c r="T43" s="59" t="s">
        <v>66</v>
      </c>
      <c r="U43" s="58"/>
      <c r="V43" s="60"/>
      <c r="X43" s="57"/>
      <c r="Y43" s="96" t="b">
        <f>IF(Y42="FALSE",IF(X40="Swing Check",VLOOKUP($Y$25,$A$4:$U$18,17),IF(X40="Sight Glass",VLOOKUP($Y$25,$A$4:$U$18,18),IF(X40="Filter Drier",VLOOKUP($Y$25,$A$4:$U$18,19),IF(X40="Suction Filter",VLOOKUP($Y$25,$A$4:$U$18,20),IF(X40="Other",VLOOKUP($Y$25,$A$4:$U$18,21),"FALSE"))))))</f>
        <v>0</v>
      </c>
      <c r="Z43" s="59" t="s">
        <v>66</v>
      </c>
      <c r="AA43" s="58"/>
      <c r="AB43" s="60"/>
    </row>
  </sheetData>
  <mergeCells count="25">
    <mergeCell ref="A1:K1"/>
    <mergeCell ref="B2:G2"/>
    <mergeCell ref="H2:K2"/>
    <mergeCell ref="B21:G21"/>
    <mergeCell ref="L24:P24"/>
    <mergeCell ref="F39:I39"/>
    <mergeCell ref="L2:T2"/>
    <mergeCell ref="A24:J24"/>
    <mergeCell ref="L27:O27"/>
    <mergeCell ref="L33:O33"/>
    <mergeCell ref="L39:O39"/>
    <mergeCell ref="A27:D27"/>
    <mergeCell ref="A33:D33"/>
    <mergeCell ref="A39:D39"/>
    <mergeCell ref="F27:I27"/>
    <mergeCell ref="F33:I33"/>
    <mergeCell ref="B22:K22"/>
    <mergeCell ref="X24:AB24"/>
    <mergeCell ref="X27:AA27"/>
    <mergeCell ref="X33:AA33"/>
    <mergeCell ref="X39:AA39"/>
    <mergeCell ref="R24:V24"/>
    <mergeCell ref="R27:U27"/>
    <mergeCell ref="R33:U33"/>
    <mergeCell ref="R39:U39"/>
  </mergeCells>
  <phoneticPr fontId="2" type="noConversion"/>
  <dataValidations disablePrompts="1" count="2">
    <dataValidation type="list" showInputMessage="1" showErrorMessage="1" sqref="F28 Q28" xr:uid="{00000000-0002-0000-0300-000000000000}">
      <formula1>$A$3:$U$3</formula1>
    </dataValidation>
    <dataValidation showInputMessage="1" showErrorMessage="1" sqref="A28 L28 R28 X28" xr:uid="{00000000-0002-0000-0300-000001000000}"/>
  </dataValidations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C32"/>
  <sheetViews>
    <sheetView topLeftCell="K1" workbookViewId="0">
      <selection activeCell="T14" sqref="T14:W14"/>
    </sheetView>
  </sheetViews>
  <sheetFormatPr defaultRowHeight="11.25" x14ac:dyDescent="0.2"/>
  <cols>
    <col min="1" max="1" width="12.28515625" style="1" customWidth="1"/>
    <col min="2" max="2" width="11.42578125" style="1" customWidth="1"/>
    <col min="3" max="7" width="9.140625" style="1"/>
    <col min="8" max="8" width="9.7109375" style="1" customWidth="1"/>
    <col min="9" max="9" width="9.140625" style="1"/>
    <col min="10" max="10" width="11.140625" style="1" customWidth="1"/>
    <col min="11" max="12" width="9.140625" style="1"/>
    <col min="13" max="13" width="11.42578125" style="1" customWidth="1"/>
    <col min="14" max="14" width="11.140625" style="1" customWidth="1"/>
    <col min="15" max="22" width="9.140625" style="1"/>
    <col min="23" max="23" width="13.42578125" style="1" customWidth="1"/>
    <col min="24" max="28" width="9.140625" style="1"/>
    <col min="29" max="29" width="12.7109375" style="1" customWidth="1"/>
    <col min="30" max="30" width="9.7109375" style="1" customWidth="1"/>
    <col min="31" max="36" width="9.140625" style="1"/>
    <col min="37" max="37" width="11.85546875" style="1" customWidth="1"/>
    <col min="38" max="38" width="9.140625" style="1"/>
    <col min="39" max="39" width="11.7109375" style="1" customWidth="1"/>
    <col min="40" max="41" width="9.140625" style="1"/>
    <col min="42" max="42" width="12.7109375" style="1" customWidth="1"/>
    <col min="43" max="43" width="9.140625" style="1"/>
    <col min="44" max="44" width="7.28515625" style="1" customWidth="1"/>
    <col min="45" max="45" width="11.28515625" style="1" bestFit="1" customWidth="1"/>
    <col min="46" max="46" width="9.42578125" style="1" customWidth="1"/>
    <col min="47" max="47" width="11.140625" style="1" customWidth="1"/>
    <col min="48" max="48" width="12" style="1" customWidth="1"/>
    <col min="49" max="49" width="9.28515625" style="1" customWidth="1"/>
    <col min="50" max="16384" width="9.140625" style="1"/>
  </cols>
  <sheetData>
    <row r="1" spans="1:29" x14ac:dyDescent="0.2">
      <c r="A1" s="267" t="s">
        <v>40</v>
      </c>
      <c r="B1" s="267"/>
      <c r="C1" s="267"/>
      <c r="D1" s="267"/>
      <c r="E1" s="3"/>
      <c r="F1" s="265" t="s">
        <v>41</v>
      </c>
      <c r="G1" s="265"/>
      <c r="H1" s="268" t="s">
        <v>42</v>
      </c>
      <c r="I1" s="268"/>
      <c r="J1" s="180" t="s">
        <v>43</v>
      </c>
      <c r="K1" s="180"/>
    </row>
    <row r="3" spans="1:29" x14ac:dyDescent="0.2">
      <c r="A3" s="245" t="s">
        <v>228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</row>
    <row r="4" spans="1:29" x14ac:dyDescent="0.2">
      <c r="A4" s="252" t="s">
        <v>111</v>
      </c>
      <c r="B4" s="262" t="s">
        <v>168</v>
      </c>
      <c r="C4" s="265" t="s">
        <v>112</v>
      </c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</row>
    <row r="5" spans="1:29" x14ac:dyDescent="0.2">
      <c r="A5" s="252"/>
      <c r="B5" s="262"/>
      <c r="C5" s="5">
        <v>0.5</v>
      </c>
      <c r="D5" s="5">
        <v>0.625</v>
      </c>
      <c r="E5" s="5">
        <v>0.75</v>
      </c>
      <c r="F5" s="5">
        <v>0.875</v>
      </c>
      <c r="G5" s="5">
        <v>1.125</v>
      </c>
      <c r="H5" s="5">
        <v>1.375</v>
      </c>
      <c r="I5" s="5">
        <v>1.625</v>
      </c>
      <c r="J5" s="5">
        <v>2.125</v>
      </c>
      <c r="K5" s="5">
        <v>2.625</v>
      </c>
      <c r="L5" s="5">
        <v>3.125</v>
      </c>
      <c r="M5" s="5">
        <v>3.625</v>
      </c>
      <c r="N5" s="5">
        <v>4.125</v>
      </c>
    </row>
    <row r="6" spans="1:29" x14ac:dyDescent="0.2">
      <c r="A6" s="252"/>
      <c r="B6" s="262"/>
      <c r="C6" s="265" t="s">
        <v>113</v>
      </c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</row>
    <row r="7" spans="1:29" x14ac:dyDescent="0.2">
      <c r="A7" s="24" t="s">
        <v>12</v>
      </c>
      <c r="B7" s="24" t="s">
        <v>12</v>
      </c>
      <c r="C7" s="82">
        <v>0.14599999999999999</v>
      </c>
      <c r="D7" s="82">
        <v>0.23300000000000001</v>
      </c>
      <c r="E7" s="82">
        <v>0.34799999999999998</v>
      </c>
      <c r="F7" s="82">
        <v>0.48399999999999999</v>
      </c>
      <c r="G7" s="82">
        <v>0.82499999999999996</v>
      </c>
      <c r="H7" s="82">
        <v>1.256</v>
      </c>
      <c r="I7" s="82">
        <v>1.78</v>
      </c>
      <c r="J7" s="82">
        <v>3.0939999999999999</v>
      </c>
      <c r="K7" s="82">
        <v>4.7699999999999996</v>
      </c>
      <c r="L7" s="82">
        <v>6.8120000000000003</v>
      </c>
      <c r="M7" s="82">
        <v>9.2129999999999992</v>
      </c>
      <c r="N7" s="82">
        <v>11.97</v>
      </c>
    </row>
    <row r="8" spans="1:29" x14ac:dyDescent="0.2">
      <c r="A8" s="6">
        <v>0</v>
      </c>
      <c r="B8" s="6">
        <v>10</v>
      </c>
      <c r="C8" s="83">
        <v>0.16700000000000001</v>
      </c>
      <c r="D8" s="83">
        <v>0.317</v>
      </c>
      <c r="E8" s="83">
        <v>0.54200000000000004</v>
      </c>
      <c r="F8" s="83">
        <v>0.83299999999999996</v>
      </c>
      <c r="G8" s="83">
        <v>1.67</v>
      </c>
      <c r="H8" s="83">
        <v>2.92</v>
      </c>
      <c r="I8" s="83">
        <v>4.58</v>
      </c>
      <c r="J8" s="83">
        <v>9.58</v>
      </c>
      <c r="K8" s="83">
        <v>17.170000000000002</v>
      </c>
      <c r="L8" s="83">
        <v>26.67</v>
      </c>
      <c r="M8" s="83">
        <v>40</v>
      </c>
      <c r="N8" s="83">
        <v>55.83</v>
      </c>
    </row>
    <row r="9" spans="1:29" x14ac:dyDescent="0.2">
      <c r="A9" s="6">
        <v>20</v>
      </c>
      <c r="B9" s="6">
        <v>10</v>
      </c>
      <c r="C9" s="83">
        <v>0.192</v>
      </c>
      <c r="D9" s="83">
        <v>0.36299999999999999</v>
      </c>
      <c r="E9" s="83">
        <v>0.66700000000000004</v>
      </c>
      <c r="F9" s="83">
        <v>0.95799999999999996</v>
      </c>
      <c r="G9" s="83">
        <v>1.96</v>
      </c>
      <c r="H9" s="83">
        <v>3.42</v>
      </c>
      <c r="I9" s="83">
        <v>5.33</v>
      </c>
      <c r="J9" s="83">
        <v>11.08</v>
      </c>
      <c r="K9" s="83">
        <v>19.579999999999998</v>
      </c>
      <c r="L9" s="83">
        <v>30.83</v>
      </c>
      <c r="M9" s="83">
        <v>45.83</v>
      </c>
      <c r="N9" s="83">
        <v>64.17</v>
      </c>
    </row>
    <row r="10" spans="1:29" x14ac:dyDescent="0.2">
      <c r="A10" s="6">
        <v>40</v>
      </c>
      <c r="B10" s="6">
        <v>10</v>
      </c>
      <c r="C10" s="83">
        <v>0.21299999999999999</v>
      </c>
      <c r="D10" s="83">
        <v>0.4</v>
      </c>
      <c r="E10" s="83">
        <v>0.68300000000000005</v>
      </c>
      <c r="F10" s="83">
        <v>1.0669999999999999</v>
      </c>
      <c r="G10" s="83">
        <v>2.17</v>
      </c>
      <c r="H10" s="83">
        <v>3.75</v>
      </c>
      <c r="I10" s="83">
        <v>6</v>
      </c>
      <c r="J10" s="83">
        <v>12.42</v>
      </c>
      <c r="K10" s="83">
        <v>21.67</v>
      </c>
      <c r="L10" s="83">
        <v>35</v>
      </c>
      <c r="M10" s="83">
        <v>51.67</v>
      </c>
      <c r="N10" s="83">
        <v>71.67</v>
      </c>
    </row>
    <row r="12" spans="1:29" ht="12.75" customHeight="1" x14ac:dyDescent="0.2">
      <c r="A12" s="252" t="s">
        <v>168</v>
      </c>
      <c r="B12" s="105">
        <v>10</v>
      </c>
      <c r="H12" s="113"/>
      <c r="I12" s="42"/>
      <c r="O12" s="113"/>
      <c r="P12" s="42"/>
      <c r="Z12" s="287"/>
      <c r="AA12" s="287"/>
      <c r="AB12" s="287"/>
      <c r="AC12" s="287"/>
    </row>
    <row r="13" spans="1:29" ht="12.75" customHeight="1" x14ac:dyDescent="0.2">
      <c r="A13" s="252"/>
      <c r="B13" s="24" t="s">
        <v>12</v>
      </c>
      <c r="F13" s="245" t="s">
        <v>115</v>
      </c>
      <c r="G13" s="245"/>
      <c r="H13" s="245"/>
      <c r="I13" s="245"/>
      <c r="J13" s="249" t="s">
        <v>229</v>
      </c>
      <c r="K13" s="249"/>
      <c r="R13" s="249" t="s">
        <v>120</v>
      </c>
      <c r="S13" s="249"/>
    </row>
    <row r="14" spans="1:29" ht="11.25" customHeight="1" x14ac:dyDescent="0.2">
      <c r="A14" s="252" t="s">
        <v>2</v>
      </c>
      <c r="B14" s="266" t="s">
        <v>8</v>
      </c>
      <c r="C14" s="266"/>
      <c r="D14" s="266"/>
      <c r="E14" s="114"/>
      <c r="F14" s="85" t="s">
        <v>11</v>
      </c>
      <c r="G14" s="288" t="s">
        <v>2</v>
      </c>
      <c r="H14" s="117" t="s">
        <v>107</v>
      </c>
      <c r="I14" s="3"/>
      <c r="J14" s="249"/>
      <c r="K14" s="249"/>
      <c r="L14" s="289" t="s">
        <v>38</v>
      </c>
      <c r="M14" s="289"/>
      <c r="N14" s="289"/>
      <c r="O14" s="289"/>
      <c r="P14" s="289"/>
      <c r="Q14" s="289"/>
      <c r="R14" s="249"/>
      <c r="S14" s="249"/>
      <c r="T14" s="245" t="s">
        <v>148</v>
      </c>
      <c r="U14" s="245"/>
      <c r="V14" s="245"/>
      <c r="W14" s="245"/>
      <c r="Z14" s="196" t="s">
        <v>121</v>
      </c>
      <c r="AA14" s="289"/>
      <c r="AB14" s="289"/>
      <c r="AC14" s="197"/>
    </row>
    <row r="15" spans="1:29" ht="11.25" customHeight="1" x14ac:dyDescent="0.2">
      <c r="A15" s="252"/>
      <c r="B15" s="266"/>
      <c r="C15" s="266"/>
      <c r="D15" s="266"/>
      <c r="E15" s="114"/>
      <c r="F15" s="20" t="s">
        <v>12</v>
      </c>
      <c r="G15" s="288"/>
      <c r="H15" s="21">
        <v>10</v>
      </c>
      <c r="I15" s="42"/>
      <c r="J15" s="252" t="s">
        <v>105</v>
      </c>
      <c r="K15" s="262" t="s">
        <v>221</v>
      </c>
      <c r="L15" s="291" t="s">
        <v>32</v>
      </c>
      <c r="M15" s="260" t="s">
        <v>33</v>
      </c>
      <c r="N15" s="260" t="s">
        <v>34</v>
      </c>
      <c r="O15" s="259" t="s">
        <v>35</v>
      </c>
      <c r="P15" s="259" t="s">
        <v>36</v>
      </c>
      <c r="Q15" s="251" t="s">
        <v>117</v>
      </c>
      <c r="R15" s="249"/>
      <c r="S15" s="249"/>
      <c r="T15" s="246" t="s">
        <v>118</v>
      </c>
      <c r="U15" s="248" t="s">
        <v>108</v>
      </c>
      <c r="V15" s="248" t="s">
        <v>45</v>
      </c>
      <c r="W15" s="248" t="s">
        <v>149</v>
      </c>
      <c r="Z15" s="196" t="s">
        <v>39</v>
      </c>
      <c r="AA15" s="289"/>
      <c r="AB15" s="289"/>
      <c r="AC15" s="197"/>
    </row>
    <row r="16" spans="1:29" x14ac:dyDescent="0.2">
      <c r="A16" s="252"/>
      <c r="B16" s="15">
        <v>0</v>
      </c>
      <c r="C16" s="15">
        <v>20</v>
      </c>
      <c r="D16" s="15">
        <v>40</v>
      </c>
      <c r="E16" s="111"/>
      <c r="F16" s="13">
        <f>'R-410A_Calculator'!D12</f>
        <v>40</v>
      </c>
      <c r="G16" s="80" t="s">
        <v>116</v>
      </c>
      <c r="H16" s="106" t="s">
        <v>12</v>
      </c>
      <c r="I16" s="81"/>
      <c r="J16" s="252"/>
      <c r="K16" s="262"/>
      <c r="L16" s="261"/>
      <c r="M16" s="248"/>
      <c r="N16" s="248"/>
      <c r="O16" s="259"/>
      <c r="P16" s="259"/>
      <c r="Q16" s="274"/>
      <c r="R16" s="250" t="s">
        <v>119</v>
      </c>
      <c r="S16" s="292" t="s">
        <v>2</v>
      </c>
      <c r="T16" s="247"/>
      <c r="U16" s="248"/>
      <c r="V16" s="248"/>
      <c r="W16" s="248"/>
      <c r="Z16" s="252" t="s">
        <v>2</v>
      </c>
      <c r="AA16" s="250" t="s">
        <v>44</v>
      </c>
      <c r="AB16" s="290" t="s">
        <v>122</v>
      </c>
      <c r="AC16" s="258" t="s">
        <v>150</v>
      </c>
    </row>
    <row r="17" spans="1:29" x14ac:dyDescent="0.2">
      <c r="A17" s="5">
        <v>0.5</v>
      </c>
      <c r="B17" s="83">
        <f t="array" ref="B17:B28">TRANSPOSE(C8:N8)</f>
        <v>0.16700000000000001</v>
      </c>
      <c r="C17" s="83">
        <f t="array" ref="C17:C28">TRANSPOSE(C9:N9)</f>
        <v>0.192</v>
      </c>
      <c r="D17" s="83">
        <f t="array" ref="D17:D28">TRANSPOSE(C10:N10)</f>
        <v>0.21299999999999999</v>
      </c>
      <c r="E17" s="112"/>
      <c r="G17" s="5">
        <v>0.5</v>
      </c>
      <c r="H17" s="86">
        <f xml:space="preserve"> -0.000005*F16^2 + 0.0014*F16 + 0.167</f>
        <v>0.21500000000000002</v>
      </c>
      <c r="I17" s="115"/>
      <c r="J17" s="24" t="s">
        <v>12</v>
      </c>
      <c r="K17" s="16" t="s">
        <v>31</v>
      </c>
      <c r="L17" s="26" t="s">
        <v>12</v>
      </c>
      <c r="M17" s="248"/>
      <c r="N17" s="248"/>
      <c r="O17" s="260"/>
      <c r="P17" s="260"/>
      <c r="Q17" s="29" t="s">
        <v>31</v>
      </c>
      <c r="R17" s="251"/>
      <c r="S17" s="288"/>
      <c r="T17" s="19" t="s">
        <v>9</v>
      </c>
      <c r="U17" s="248"/>
      <c r="V17" s="248"/>
      <c r="W17" s="248"/>
      <c r="Z17" s="252"/>
      <c r="AA17" s="251"/>
      <c r="AB17" s="291"/>
      <c r="AC17" s="259"/>
    </row>
    <row r="18" spans="1:29" x14ac:dyDescent="0.2">
      <c r="A18" s="5">
        <v>0.625</v>
      </c>
      <c r="B18" s="83">
        <v>0.317</v>
      </c>
      <c r="C18" s="83">
        <v>0.36299999999999999</v>
      </c>
      <c r="D18" s="83">
        <v>0.4</v>
      </c>
      <c r="E18" s="112"/>
      <c r="G18" s="5">
        <v>0.625</v>
      </c>
      <c r="H18" s="86">
        <f xml:space="preserve"> -0.00001*F16^2 + 0.0025*F16 + 0.317</f>
        <v>0.40100000000000002</v>
      </c>
      <c r="I18" s="115"/>
      <c r="J18" s="6">
        <v>80</v>
      </c>
      <c r="K18" s="25">
        <v>1.05</v>
      </c>
      <c r="L18" s="13">
        <f>'R-410A_Calculator'!D11</f>
        <v>120</v>
      </c>
      <c r="M18" s="27">
        <f t="shared" ref="M18:M24" si="0">IF($L$18&gt;=J18,J18,"")</f>
        <v>80</v>
      </c>
      <c r="N18" s="27" t="str">
        <f t="shared" ref="N18:N23" si="1">IF($L$18&lt;=J18,J18,"")</f>
        <v/>
      </c>
      <c r="O18" s="27">
        <f>MAX(M18:M24)</f>
        <v>120</v>
      </c>
      <c r="P18" s="28">
        <f>VLOOKUP(O18,J18:K24,2)</f>
        <v>0.83</v>
      </c>
      <c r="Q18" s="30">
        <f>IF(L18=80,K18,IF(L18=90,K19,IF(L18=100,K20,IF(L18=110,K21,IF(L18=120,K22,IF(L18=130,K23,IF(L18=140,K24,FORECAST(L18,P18:P19,O18:O19))))))))</f>
        <v>0.83</v>
      </c>
      <c r="R18" s="29" t="s">
        <v>9</v>
      </c>
      <c r="S18" s="80" t="s">
        <v>116</v>
      </c>
      <c r="T18" s="13">
        <f>'R-410A_Calculator'!D10</f>
        <v>8.9</v>
      </c>
      <c r="U18" s="248"/>
      <c r="V18" s="248"/>
      <c r="W18" s="248"/>
      <c r="Z18" s="252"/>
      <c r="AA18" s="29" t="s">
        <v>9</v>
      </c>
      <c r="AB18" s="19" t="s">
        <v>116</v>
      </c>
      <c r="AC18" s="99" t="s">
        <v>9</v>
      </c>
    </row>
    <row r="19" spans="1:29" x14ac:dyDescent="0.2">
      <c r="A19" s="5">
        <v>0.75</v>
      </c>
      <c r="B19" s="83">
        <v>0.54200000000000004</v>
      </c>
      <c r="C19" s="83">
        <v>0.66700000000000004</v>
      </c>
      <c r="D19" s="83">
        <v>0.68300000000000005</v>
      </c>
      <c r="E19" s="112"/>
      <c r="G19" s="5">
        <v>0.75</v>
      </c>
      <c r="H19" s="86">
        <f xml:space="preserve"> -0.0001*F16^2 + 0.009*F16 + 0.542</f>
        <v>0.74199999999999999</v>
      </c>
      <c r="I19" s="115"/>
      <c r="J19" s="6">
        <v>90</v>
      </c>
      <c r="K19" s="25">
        <v>1</v>
      </c>
      <c r="M19" s="27">
        <f t="shared" si="0"/>
        <v>90</v>
      </c>
      <c r="N19" s="27" t="str">
        <f t="shared" si="1"/>
        <v/>
      </c>
      <c r="O19" s="27">
        <f>MIN(N18:N24)</f>
        <v>120</v>
      </c>
      <c r="P19" s="28">
        <f>VLOOKUP(O19,J18:K24,2)</f>
        <v>0.83</v>
      </c>
      <c r="Q19" s="8"/>
      <c r="R19" s="30">
        <f>$Q$18*H17</f>
        <v>0.17845000000000003</v>
      </c>
      <c r="S19" s="5">
        <v>0.5</v>
      </c>
      <c r="U19" s="30">
        <f>IF(R19&lt;$T$18,R19,"")</f>
        <v>0.17845000000000003</v>
      </c>
      <c r="V19" s="30">
        <f>MAX(U19:U30)</f>
        <v>4.9799999999999995</v>
      </c>
      <c r="W19" s="35">
        <f>VLOOKUP(V19,R19:S30,2)</f>
        <v>1.625</v>
      </c>
      <c r="Z19" s="5">
        <f>'R-410A_Data'!AM8</f>
        <v>0.5</v>
      </c>
      <c r="AA19" s="33">
        <f>'R-410A_Data'!AL8</f>
        <v>0.78792070000000003</v>
      </c>
      <c r="AB19" s="88">
        <f>W21</f>
        <v>1.375</v>
      </c>
      <c r="AC19" s="28">
        <f>VLOOKUP(AB19,Z19:AA32,2)</f>
        <v>13.736828000000001</v>
      </c>
    </row>
    <row r="20" spans="1:29" x14ac:dyDescent="0.2">
      <c r="A20" s="5">
        <v>0.875</v>
      </c>
      <c r="B20" s="83">
        <v>0.83299999999999996</v>
      </c>
      <c r="C20" s="83">
        <v>0.95799999999999996</v>
      </c>
      <c r="D20" s="83">
        <v>1.0669999999999999</v>
      </c>
      <c r="E20" s="112"/>
      <c r="G20" s="5">
        <v>0.875</v>
      </c>
      <c r="H20" s="86">
        <f xml:space="preserve"> -0.00002*F16^2 + 0.0067*F16 + 0.833</f>
        <v>1.069</v>
      </c>
      <c r="I20" s="115"/>
      <c r="J20" s="6">
        <v>100</v>
      </c>
      <c r="K20" s="25">
        <v>0.94</v>
      </c>
      <c r="M20" s="27">
        <f t="shared" si="0"/>
        <v>100</v>
      </c>
      <c r="N20" s="27" t="str">
        <f t="shared" si="1"/>
        <v/>
      </c>
      <c r="R20" s="30">
        <f t="shared" ref="R20:R30" si="2">$Q$18*H18</f>
        <v>0.33283000000000001</v>
      </c>
      <c r="S20" s="5">
        <v>0.625</v>
      </c>
      <c r="U20" s="30">
        <f t="shared" ref="U20:U30" si="3">IF(R20&lt;$T$18,R20,"")</f>
        <v>0.33283000000000001</v>
      </c>
      <c r="V20" s="11"/>
      <c r="Z20" s="5">
        <f>'R-410A_Data'!AM9</f>
        <v>0.625</v>
      </c>
      <c r="AA20" s="33">
        <f>'R-410A_Data'!AL9</f>
        <v>1.445514</v>
      </c>
    </row>
    <row r="21" spans="1:29" x14ac:dyDescent="0.2">
      <c r="A21" s="5">
        <v>1.125</v>
      </c>
      <c r="B21" s="83">
        <v>1.67</v>
      </c>
      <c r="C21" s="83">
        <v>1.96</v>
      </c>
      <c r="D21" s="83">
        <v>2.17</v>
      </c>
      <c r="E21" s="112"/>
      <c r="G21" s="5">
        <v>1.125</v>
      </c>
      <c r="H21" s="86">
        <f xml:space="preserve"> -0.0001*F16^2 + 0.0165*F16 + 1.67</f>
        <v>2.17</v>
      </c>
      <c r="I21" s="115"/>
      <c r="J21" s="6">
        <v>110</v>
      </c>
      <c r="K21" s="25">
        <v>0.9</v>
      </c>
      <c r="M21" s="27">
        <f t="shared" si="0"/>
        <v>110</v>
      </c>
      <c r="N21" s="27" t="str">
        <f t="shared" si="1"/>
        <v/>
      </c>
      <c r="R21" s="30">
        <f t="shared" si="2"/>
        <v>0.61585999999999996</v>
      </c>
      <c r="S21" s="5">
        <v>0.75</v>
      </c>
      <c r="U21" s="30">
        <f t="shared" si="3"/>
        <v>0.61585999999999996</v>
      </c>
      <c r="V21" s="11"/>
      <c r="W21" s="35">
        <f>IF(W19&gt;'R-410A_Data'!$AQ$8,'R-410A_Data'!$AQ$8,'R-410A_Min_Suction_Riser_Cap'!W19)</f>
        <v>1.375</v>
      </c>
      <c r="Z21" s="5">
        <f>'R-410A_Data'!AM10</f>
        <v>0.75</v>
      </c>
      <c r="AA21" s="33">
        <f>'R-410A_Data'!AL10</f>
        <v>2.5060021000000003</v>
      </c>
    </row>
    <row r="22" spans="1:29" ht="11.25" customHeight="1" x14ac:dyDescent="0.2">
      <c r="A22" s="5">
        <v>1.375</v>
      </c>
      <c r="B22" s="83">
        <v>2.92</v>
      </c>
      <c r="C22" s="83">
        <v>3.42</v>
      </c>
      <c r="D22" s="83">
        <v>3.75</v>
      </c>
      <c r="E22" s="112"/>
      <c r="G22" s="5">
        <v>1.375</v>
      </c>
      <c r="H22" s="86">
        <f xml:space="preserve"> -0.0002*F16^2 + 0.0292*F16 + 2.92</f>
        <v>3.7679999999999998</v>
      </c>
      <c r="I22" s="115"/>
      <c r="J22" s="6">
        <v>120</v>
      </c>
      <c r="K22" s="25">
        <v>0.83</v>
      </c>
      <c r="M22" s="27">
        <f t="shared" si="0"/>
        <v>120</v>
      </c>
      <c r="N22" s="27">
        <f t="shared" si="1"/>
        <v>120</v>
      </c>
      <c r="R22" s="30">
        <f t="shared" si="2"/>
        <v>0.88726999999999989</v>
      </c>
      <c r="S22" s="5">
        <v>0.875</v>
      </c>
      <c r="U22" s="30">
        <f t="shared" si="3"/>
        <v>0.88726999999999989</v>
      </c>
      <c r="V22" s="11"/>
      <c r="W22" s="1" t="s">
        <v>147</v>
      </c>
      <c r="Z22" s="5">
        <f>'R-410A_Data'!AM11</f>
        <v>0.875</v>
      </c>
      <c r="AA22" s="33">
        <f>'R-410A_Data'!AL11</f>
        <v>3.8491033000000008</v>
      </c>
    </row>
    <row r="23" spans="1:29" x14ac:dyDescent="0.2">
      <c r="A23" s="5">
        <v>1.625</v>
      </c>
      <c r="B23" s="83">
        <v>4.58</v>
      </c>
      <c r="C23" s="83">
        <v>5.33</v>
      </c>
      <c r="D23" s="83">
        <v>6</v>
      </c>
      <c r="E23" s="112"/>
      <c r="G23" s="5">
        <v>1.625</v>
      </c>
      <c r="H23" s="86">
        <f xml:space="preserve"> -0.0001*F16^2 + 0.0395*F16 + 4.58</f>
        <v>6</v>
      </c>
      <c r="I23" s="115"/>
      <c r="J23" s="6">
        <v>130</v>
      </c>
      <c r="K23" s="25">
        <v>0.77</v>
      </c>
      <c r="M23" s="27" t="str">
        <f t="shared" si="0"/>
        <v/>
      </c>
      <c r="N23" s="27">
        <f t="shared" si="1"/>
        <v>130</v>
      </c>
      <c r="R23" s="30">
        <f t="shared" si="2"/>
        <v>1.8010999999999999</v>
      </c>
      <c r="S23" s="5">
        <v>1.125</v>
      </c>
      <c r="U23" s="30">
        <f t="shared" si="3"/>
        <v>1.8010999999999999</v>
      </c>
      <c r="V23" s="11"/>
      <c r="W23" s="1" t="s">
        <v>146</v>
      </c>
      <c r="Z23" s="5">
        <f>'R-410A_Data'!AM12</f>
        <v>1.125</v>
      </c>
      <c r="AA23" s="33">
        <f>'R-410A_Data'!AL12</f>
        <v>7.9164561000000013</v>
      </c>
    </row>
    <row r="24" spans="1:29" x14ac:dyDescent="0.2">
      <c r="A24" s="5">
        <v>2.125</v>
      </c>
      <c r="B24" s="83">
        <v>9.58</v>
      </c>
      <c r="C24" s="83">
        <v>11.08</v>
      </c>
      <c r="D24" s="83">
        <v>12.42</v>
      </c>
      <c r="E24" s="112"/>
      <c r="G24" s="5">
        <v>2.125</v>
      </c>
      <c r="H24" s="86">
        <f xml:space="preserve"> -0.0002*F16^2 + 0.079*F16 + 9.58</f>
        <v>12.42</v>
      </c>
      <c r="I24" s="115"/>
      <c r="J24" s="6">
        <v>140</v>
      </c>
      <c r="K24" s="25">
        <v>0.72</v>
      </c>
      <c r="M24" s="27" t="str">
        <f t="shared" si="0"/>
        <v/>
      </c>
      <c r="N24" s="27">
        <f>IF($L$18&lt;=J24,J24,"")</f>
        <v>140</v>
      </c>
      <c r="R24" s="30">
        <f t="shared" si="2"/>
        <v>3.1274399999999996</v>
      </c>
      <c r="S24" s="5">
        <v>1.375</v>
      </c>
      <c r="U24" s="30">
        <f t="shared" si="3"/>
        <v>3.1274399999999996</v>
      </c>
      <c r="V24" s="11"/>
      <c r="W24" s="30">
        <f>VLOOKUP(W21,S19:U30,3)</f>
        <v>3.1274399999999996</v>
      </c>
      <c r="Z24" s="5">
        <f>'R-410A_Data'!AM13</f>
        <v>1.375</v>
      </c>
      <c r="AA24" s="33">
        <f>'R-410A_Data'!AL13</f>
        <v>13.736828000000001</v>
      </c>
    </row>
    <row r="25" spans="1:29" x14ac:dyDescent="0.2">
      <c r="A25" s="5">
        <v>2.625</v>
      </c>
      <c r="B25" s="83">
        <v>17.170000000000002</v>
      </c>
      <c r="C25" s="83">
        <v>19.579999999999998</v>
      </c>
      <c r="D25" s="83">
        <v>21.67</v>
      </c>
      <c r="E25" s="112"/>
      <c r="G25" s="5">
        <v>2.625</v>
      </c>
      <c r="H25" s="86">
        <f xml:space="preserve"> -0.0004*F16^2 + 0.1285*F16 + 17.17</f>
        <v>21.67</v>
      </c>
      <c r="I25" s="115"/>
      <c r="J25" s="115"/>
      <c r="L25" s="115"/>
      <c r="R25" s="30">
        <f t="shared" si="2"/>
        <v>4.9799999999999995</v>
      </c>
      <c r="S25" s="5">
        <v>1.625</v>
      </c>
      <c r="U25" s="30">
        <f t="shared" si="3"/>
        <v>4.9799999999999995</v>
      </c>
      <c r="V25" s="11"/>
      <c r="W25" s="1" t="s">
        <v>151</v>
      </c>
      <c r="Z25" s="5">
        <f>'R-410A_Data'!AM14</f>
        <v>1.625</v>
      </c>
      <c r="AA25" s="33">
        <f>'R-410A_Data'!AL14</f>
        <v>21.572474</v>
      </c>
    </row>
    <row r="26" spans="1:29" x14ac:dyDescent="0.2">
      <c r="A26" s="5">
        <v>3.125</v>
      </c>
      <c r="B26" s="83">
        <v>26.67</v>
      </c>
      <c r="C26" s="83">
        <v>30.83</v>
      </c>
      <c r="D26" s="83">
        <v>35</v>
      </c>
      <c r="E26" s="112"/>
      <c r="G26" s="5">
        <v>3.125</v>
      </c>
      <c r="H26" s="86">
        <f xml:space="preserve"> 0.00001*F16^2 + 0.2078*F16 + 26.67</f>
        <v>34.998000000000005</v>
      </c>
      <c r="I26" s="115"/>
      <c r="J26" s="115"/>
      <c r="L26" s="115"/>
      <c r="R26" s="30">
        <f t="shared" si="2"/>
        <v>10.3086</v>
      </c>
      <c r="S26" s="5">
        <v>2.125</v>
      </c>
      <c r="U26" s="30" t="str">
        <f t="shared" si="3"/>
        <v/>
      </c>
      <c r="V26" s="11"/>
      <c r="Z26" s="5">
        <f>'R-410A_Data'!AM15</f>
        <v>2.125</v>
      </c>
      <c r="AA26" s="33">
        <f>'R-410A_Data'!AL15</f>
        <v>44.581571999999994</v>
      </c>
    </row>
    <row r="27" spans="1:29" x14ac:dyDescent="0.2">
      <c r="A27" s="5">
        <v>3.625</v>
      </c>
      <c r="B27" s="83">
        <v>40</v>
      </c>
      <c r="C27" s="83">
        <v>45.83</v>
      </c>
      <c r="D27" s="83">
        <v>51.67</v>
      </c>
      <c r="E27" s="112"/>
      <c r="G27" s="5">
        <v>3.625</v>
      </c>
      <c r="H27" s="86">
        <f xml:space="preserve"> 0.00001*F16^2 + 0.2912*F16 + 40</f>
        <v>51.664000000000001</v>
      </c>
      <c r="I27" s="115"/>
      <c r="J27" s="115"/>
      <c r="R27" s="30">
        <f t="shared" si="2"/>
        <v>17.9861</v>
      </c>
      <c r="S27" s="5">
        <v>2.625</v>
      </c>
      <c r="U27" s="30" t="str">
        <f t="shared" si="3"/>
        <v/>
      </c>
      <c r="V27" s="11"/>
      <c r="Z27" s="5">
        <f>'R-410A_Data'!AM16</f>
        <v>2.625</v>
      </c>
      <c r="AA27" s="33">
        <f>'R-410A_Data'!AL16</f>
        <v>78.424913000000018</v>
      </c>
    </row>
    <row r="28" spans="1:29" x14ac:dyDescent="0.2">
      <c r="A28" s="5">
        <v>4.125</v>
      </c>
      <c r="B28" s="83">
        <v>55.83</v>
      </c>
      <c r="C28" s="83">
        <v>64.17</v>
      </c>
      <c r="D28" s="83">
        <v>71.67</v>
      </c>
      <c r="E28" s="112"/>
      <c r="G28" s="5">
        <v>4.125</v>
      </c>
      <c r="H28" s="86">
        <f xml:space="preserve"> -0.0011*F16^2 + 0.438*F16 + 55.83</f>
        <v>71.59</v>
      </c>
      <c r="I28" s="115"/>
      <c r="J28" s="115"/>
      <c r="R28" s="30">
        <f t="shared" si="2"/>
        <v>29.048340000000003</v>
      </c>
      <c r="S28" s="5">
        <v>3.125</v>
      </c>
      <c r="U28" s="30" t="str">
        <f t="shared" si="3"/>
        <v/>
      </c>
      <c r="V28" s="11"/>
      <c r="Z28" s="5">
        <f>'R-410A_Data'!AM17</f>
        <v>3.125</v>
      </c>
      <c r="AA28" s="33">
        <f>'R-410A_Data'!AL17</f>
        <v>124.920502</v>
      </c>
    </row>
    <row r="29" spans="1:29" x14ac:dyDescent="0.2">
      <c r="J29" s="115"/>
      <c r="R29" s="30">
        <f t="shared" si="2"/>
        <v>42.881119999999996</v>
      </c>
      <c r="S29" s="5">
        <v>3.625</v>
      </c>
      <c r="U29" s="30" t="str">
        <f t="shared" si="3"/>
        <v/>
      </c>
      <c r="Z29" s="5">
        <f>'R-410A_Data'!AM18</f>
        <v>3.625</v>
      </c>
      <c r="AA29" s="33">
        <f>'R-410A_Data'!AL18</f>
        <v>185.153808</v>
      </c>
    </row>
    <row r="30" spans="1:29" x14ac:dyDescent="0.2">
      <c r="R30" s="30">
        <f t="shared" si="2"/>
        <v>59.419699999999999</v>
      </c>
      <c r="S30" s="5">
        <v>4.125</v>
      </c>
      <c r="U30" s="30" t="str">
        <f t="shared" si="3"/>
        <v/>
      </c>
      <c r="Z30" s="5">
        <f>'R-410A_Data'!AM19</f>
        <v>4.125</v>
      </c>
      <c r="AA30" s="33">
        <f>'R-410A_Data'!AL19</f>
        <v>260.75259000000005</v>
      </c>
    </row>
    <row r="31" spans="1:29" x14ac:dyDescent="0.2">
      <c r="Z31" s="5">
        <f>'R-410A_Data'!AM20</f>
        <v>5.125</v>
      </c>
      <c r="AA31" s="33">
        <f>'R-410A_Data'!AL20</f>
        <v>464.30869799999994</v>
      </c>
    </row>
    <row r="32" spans="1:29" x14ac:dyDescent="0.2">
      <c r="Z32" s="5">
        <f>'R-410A_Data'!AM21</f>
        <v>6.125</v>
      </c>
      <c r="AA32" s="33">
        <f>'R-410A_Data'!AL21</f>
        <v>745.23803199999998</v>
      </c>
    </row>
  </sheetData>
  <mergeCells count="39">
    <mergeCell ref="T15:T16"/>
    <mergeCell ref="U15:U18"/>
    <mergeCell ref="V15:V18"/>
    <mergeCell ref="W15:W18"/>
    <mergeCell ref="P15:P17"/>
    <mergeCell ref="Q15:Q16"/>
    <mergeCell ref="R16:R17"/>
    <mergeCell ref="S16:S17"/>
    <mergeCell ref="R13:S15"/>
    <mergeCell ref="L14:Q14"/>
    <mergeCell ref="A1:D1"/>
    <mergeCell ref="F1:G1"/>
    <mergeCell ref="H1:I1"/>
    <mergeCell ref="J1:K1"/>
    <mergeCell ref="J13:K14"/>
    <mergeCell ref="B4:B6"/>
    <mergeCell ref="C4:N4"/>
    <mergeCell ref="C6:N6"/>
    <mergeCell ref="A3:N3"/>
    <mergeCell ref="A14:A16"/>
    <mergeCell ref="B14:D15"/>
    <mergeCell ref="F13:I13"/>
    <mergeCell ref="A4:A6"/>
    <mergeCell ref="Z12:AC12"/>
    <mergeCell ref="G14:G15"/>
    <mergeCell ref="A12:A13"/>
    <mergeCell ref="Z14:AC14"/>
    <mergeCell ref="Z15:AC15"/>
    <mergeCell ref="M15:M17"/>
    <mergeCell ref="N15:N17"/>
    <mergeCell ref="O15:O17"/>
    <mergeCell ref="AB16:AB17"/>
    <mergeCell ref="Z16:Z18"/>
    <mergeCell ref="J15:J16"/>
    <mergeCell ref="K15:K16"/>
    <mergeCell ref="AA16:AA17"/>
    <mergeCell ref="L15:L16"/>
    <mergeCell ref="AC16:AC17"/>
    <mergeCell ref="T14:W14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AC31"/>
  <sheetViews>
    <sheetView topLeftCell="P10" workbookViewId="0">
      <selection activeCell="T18" sqref="T18"/>
    </sheetView>
  </sheetViews>
  <sheetFormatPr defaultRowHeight="11.25" x14ac:dyDescent="0.2"/>
  <cols>
    <col min="1" max="1" width="12.28515625" style="1" customWidth="1"/>
    <col min="2" max="2" width="11.42578125" style="1" customWidth="1"/>
    <col min="3" max="5" width="9.140625" style="1"/>
    <col min="6" max="6" width="11.85546875" style="1" customWidth="1"/>
    <col min="7" max="9" width="9.140625" style="1"/>
    <col min="10" max="10" width="11.5703125" style="1" customWidth="1"/>
    <col min="11" max="20" width="9.140625" style="1"/>
    <col min="21" max="21" width="12.28515625" style="1" customWidth="1"/>
    <col min="22" max="22" width="12.140625" style="1" customWidth="1"/>
    <col min="23" max="23" width="12.7109375" style="1" customWidth="1"/>
    <col min="24" max="28" width="9.140625" style="1"/>
    <col min="29" max="29" width="12.7109375" style="1" customWidth="1"/>
    <col min="30" max="30" width="9.7109375" style="1" customWidth="1"/>
    <col min="31" max="31" width="9.140625" style="1"/>
    <col min="32" max="32" width="11.5703125" style="1" customWidth="1"/>
    <col min="33" max="33" width="11" style="1" customWidth="1"/>
    <col min="34" max="36" width="9.140625" style="1"/>
    <col min="37" max="37" width="11.85546875" style="1" customWidth="1"/>
    <col min="38" max="38" width="9.140625" style="1"/>
    <col min="39" max="39" width="13.42578125" style="1" customWidth="1"/>
    <col min="40" max="41" width="9.140625" style="1"/>
    <col min="42" max="42" width="12.7109375" style="1" customWidth="1"/>
    <col min="43" max="43" width="9.140625" style="1"/>
    <col min="44" max="44" width="7.28515625" style="1" customWidth="1"/>
    <col min="45" max="45" width="11.28515625" style="1" bestFit="1" customWidth="1"/>
    <col min="46" max="46" width="13" style="1" customWidth="1"/>
    <col min="47" max="47" width="13.5703125" style="1" customWidth="1"/>
    <col min="48" max="48" width="12" style="1" customWidth="1"/>
    <col min="49" max="49" width="9.28515625" style="1" customWidth="1"/>
    <col min="50" max="16384" width="9.140625" style="1"/>
  </cols>
  <sheetData>
    <row r="1" spans="1:29" x14ac:dyDescent="0.2">
      <c r="A1" s="267" t="s">
        <v>40</v>
      </c>
      <c r="B1" s="267"/>
      <c r="C1" s="267"/>
      <c r="D1" s="267"/>
      <c r="E1" s="3"/>
      <c r="F1" s="265" t="s">
        <v>41</v>
      </c>
      <c r="G1" s="265"/>
      <c r="H1" s="268" t="s">
        <v>42</v>
      </c>
      <c r="I1" s="268"/>
      <c r="J1" s="180" t="s">
        <v>43</v>
      </c>
      <c r="K1" s="180"/>
    </row>
    <row r="3" spans="1:29" x14ac:dyDescent="0.2">
      <c r="A3" s="245" t="s">
        <v>230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</row>
    <row r="4" spans="1:29" x14ac:dyDescent="0.2">
      <c r="A4" s="252" t="s">
        <v>166</v>
      </c>
      <c r="B4" s="262" t="s">
        <v>167</v>
      </c>
      <c r="C4" s="265" t="s">
        <v>112</v>
      </c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</row>
    <row r="5" spans="1:29" x14ac:dyDescent="0.2">
      <c r="A5" s="252"/>
      <c r="B5" s="262"/>
      <c r="C5" s="5">
        <v>0.5</v>
      </c>
      <c r="D5" s="5">
        <v>0.625</v>
      </c>
      <c r="E5" s="5">
        <v>0.75</v>
      </c>
      <c r="F5" s="5">
        <v>0.875</v>
      </c>
      <c r="G5" s="5">
        <v>1.125</v>
      </c>
      <c r="H5" s="5">
        <v>1.375</v>
      </c>
      <c r="I5" s="5">
        <v>1.625</v>
      </c>
      <c r="J5" s="5">
        <v>2.125</v>
      </c>
      <c r="K5" s="5">
        <v>2.625</v>
      </c>
      <c r="L5" s="5">
        <v>3.125</v>
      </c>
      <c r="M5" s="5">
        <v>3.625</v>
      </c>
      <c r="N5" s="5">
        <v>4.125</v>
      </c>
    </row>
    <row r="6" spans="1:29" x14ac:dyDescent="0.2">
      <c r="A6" s="252"/>
      <c r="B6" s="262"/>
      <c r="C6" s="265" t="s">
        <v>113</v>
      </c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</row>
    <row r="7" spans="1:29" x14ac:dyDescent="0.2">
      <c r="A7" s="24" t="s">
        <v>12</v>
      </c>
      <c r="B7" s="24" t="s">
        <v>12</v>
      </c>
      <c r="C7" s="82">
        <v>0.14599999999999999</v>
      </c>
      <c r="D7" s="82">
        <v>0.23300000000000001</v>
      </c>
      <c r="E7" s="82">
        <v>0.34799999999999998</v>
      </c>
      <c r="F7" s="82">
        <v>0.48399999999999999</v>
      </c>
      <c r="G7" s="82">
        <v>0.82499999999999996</v>
      </c>
      <c r="H7" s="82">
        <v>1.256</v>
      </c>
      <c r="I7" s="82">
        <v>1.78</v>
      </c>
      <c r="J7" s="82">
        <v>3.0939999999999999</v>
      </c>
      <c r="K7" s="82">
        <v>4.7699999999999996</v>
      </c>
      <c r="L7" s="82">
        <v>6.8120000000000003</v>
      </c>
      <c r="M7" s="82">
        <v>9.2129999999999992</v>
      </c>
      <c r="N7" s="82">
        <v>11.97</v>
      </c>
    </row>
    <row r="8" spans="1:29" x14ac:dyDescent="0.2">
      <c r="A8" s="6">
        <v>80</v>
      </c>
      <c r="B8" s="6">
        <v>60</v>
      </c>
      <c r="C8" s="83">
        <v>0.33</v>
      </c>
      <c r="D8" s="83">
        <v>0.61</v>
      </c>
      <c r="E8" s="83">
        <v>1.06</v>
      </c>
      <c r="F8" s="83">
        <v>1.59</v>
      </c>
      <c r="G8" s="83">
        <v>3.19</v>
      </c>
      <c r="H8" s="83">
        <v>5.54</v>
      </c>
      <c r="I8" s="83">
        <v>8.75</v>
      </c>
      <c r="J8" s="83">
        <v>13.8</v>
      </c>
      <c r="K8" s="83">
        <v>24.4</v>
      </c>
      <c r="L8" s="83">
        <v>38.9</v>
      </c>
      <c r="M8" s="83">
        <v>57.8</v>
      </c>
      <c r="N8" s="83">
        <v>81.7</v>
      </c>
    </row>
    <row r="9" spans="1:29" x14ac:dyDescent="0.2">
      <c r="A9" s="6">
        <v>100</v>
      </c>
      <c r="B9" s="6">
        <v>60</v>
      </c>
      <c r="C9" s="83">
        <v>0.34</v>
      </c>
      <c r="D9" s="83">
        <v>0.628</v>
      </c>
      <c r="E9" s="83">
        <v>1.0920000000000001</v>
      </c>
      <c r="F9" s="83">
        <v>1.6379999999999999</v>
      </c>
      <c r="G9" s="83">
        <v>3.29</v>
      </c>
      <c r="H9" s="83">
        <v>5.71</v>
      </c>
      <c r="I9" s="83">
        <v>9.01</v>
      </c>
      <c r="J9" s="83">
        <v>14.21</v>
      </c>
      <c r="K9" s="83">
        <v>25.13</v>
      </c>
      <c r="L9" s="83">
        <v>40.04</v>
      </c>
      <c r="M9" s="83">
        <v>59.53</v>
      </c>
      <c r="N9" s="83">
        <v>84.15</v>
      </c>
    </row>
    <row r="10" spans="1:29" x14ac:dyDescent="0.2">
      <c r="A10" s="6">
        <v>120</v>
      </c>
      <c r="B10" s="6">
        <v>60</v>
      </c>
      <c r="C10" s="83">
        <v>0.35</v>
      </c>
      <c r="D10" s="83">
        <v>0.64700000000000002</v>
      </c>
      <c r="E10" s="83">
        <v>1.125</v>
      </c>
      <c r="F10" s="83">
        <v>1.6870000000000001</v>
      </c>
      <c r="G10" s="83">
        <v>3.38</v>
      </c>
      <c r="H10" s="83">
        <v>5.88</v>
      </c>
      <c r="I10" s="83">
        <v>9.2799999999999994</v>
      </c>
      <c r="J10" s="83">
        <v>14.64</v>
      </c>
      <c r="K10" s="83">
        <v>25.89</v>
      </c>
      <c r="L10" s="83">
        <v>41.27</v>
      </c>
      <c r="M10" s="83">
        <v>61.32</v>
      </c>
      <c r="N10" s="83">
        <v>86.68</v>
      </c>
    </row>
    <row r="11" spans="1:29" x14ac:dyDescent="0.2">
      <c r="Z11" s="287"/>
      <c r="AA11" s="287"/>
      <c r="AB11" s="287"/>
      <c r="AC11" s="287"/>
    </row>
    <row r="12" spans="1:29" ht="12.75" customHeight="1" x14ac:dyDescent="0.2">
      <c r="A12" s="252" t="s">
        <v>167</v>
      </c>
      <c r="B12" s="105">
        <v>60</v>
      </c>
      <c r="G12" s="249" t="s">
        <v>170</v>
      </c>
      <c r="H12" s="249"/>
      <c r="R12" s="249" t="s">
        <v>175</v>
      </c>
      <c r="S12" s="249"/>
    </row>
    <row r="13" spans="1:29" ht="12.75" customHeight="1" x14ac:dyDescent="0.2">
      <c r="A13" s="252"/>
      <c r="B13" s="24" t="s">
        <v>12</v>
      </c>
      <c r="F13" s="295" t="s">
        <v>105</v>
      </c>
      <c r="G13" s="249"/>
      <c r="H13" s="249"/>
      <c r="I13" s="3"/>
      <c r="J13" s="249" t="s">
        <v>231</v>
      </c>
      <c r="K13" s="249"/>
      <c r="R13" s="249"/>
      <c r="S13" s="249"/>
      <c r="T13" s="245" t="s">
        <v>193</v>
      </c>
      <c r="U13" s="245"/>
      <c r="V13" s="245"/>
      <c r="W13" s="245"/>
      <c r="Z13" s="196" t="s">
        <v>182</v>
      </c>
      <c r="AA13" s="289"/>
      <c r="AB13" s="289"/>
      <c r="AC13" s="197"/>
    </row>
    <row r="14" spans="1:29" ht="11.25" customHeight="1" x14ac:dyDescent="0.2">
      <c r="A14" s="252" t="s">
        <v>2</v>
      </c>
      <c r="B14" s="266"/>
      <c r="C14" s="266"/>
      <c r="D14" s="266"/>
      <c r="E14" s="114"/>
      <c r="F14" s="261"/>
      <c r="G14" s="292" t="s">
        <v>2</v>
      </c>
      <c r="H14" s="116" t="s">
        <v>107</v>
      </c>
      <c r="I14" s="3"/>
      <c r="J14" s="249"/>
      <c r="K14" s="249"/>
      <c r="L14" s="196" t="s">
        <v>173</v>
      </c>
      <c r="M14" s="289"/>
      <c r="N14" s="289"/>
      <c r="O14" s="289"/>
      <c r="P14" s="289"/>
      <c r="Q14" s="289"/>
      <c r="R14" s="249"/>
      <c r="S14" s="249"/>
      <c r="T14" s="246" t="s">
        <v>177</v>
      </c>
      <c r="U14" s="248" t="s">
        <v>159</v>
      </c>
      <c r="V14" s="248" t="s">
        <v>160</v>
      </c>
      <c r="W14" s="248" t="s">
        <v>190</v>
      </c>
      <c r="Z14" s="196" t="s">
        <v>183</v>
      </c>
      <c r="AA14" s="289"/>
      <c r="AB14" s="289"/>
      <c r="AC14" s="197"/>
    </row>
    <row r="15" spans="1:29" ht="11.25" customHeight="1" x14ac:dyDescent="0.2">
      <c r="A15" s="252"/>
      <c r="B15" s="266" t="s">
        <v>169</v>
      </c>
      <c r="C15" s="266"/>
      <c r="D15" s="266"/>
      <c r="E15" s="114"/>
      <c r="F15" s="20" t="s">
        <v>12</v>
      </c>
      <c r="G15" s="288"/>
      <c r="H15" s="21">
        <v>30</v>
      </c>
      <c r="I15" s="42"/>
      <c r="J15" s="252" t="s">
        <v>189</v>
      </c>
      <c r="K15" s="262" t="s">
        <v>221</v>
      </c>
      <c r="L15" s="291" t="s">
        <v>171</v>
      </c>
      <c r="M15" s="260" t="s">
        <v>33</v>
      </c>
      <c r="N15" s="260" t="s">
        <v>34</v>
      </c>
      <c r="O15" s="259" t="s">
        <v>35</v>
      </c>
      <c r="P15" s="259" t="s">
        <v>37</v>
      </c>
      <c r="Q15" s="251" t="s">
        <v>174</v>
      </c>
      <c r="R15" s="250" t="s">
        <v>176</v>
      </c>
      <c r="S15" s="292" t="s">
        <v>2</v>
      </c>
      <c r="T15" s="247"/>
      <c r="U15" s="248"/>
      <c r="V15" s="248"/>
      <c r="W15" s="248"/>
      <c r="Y15" s="42"/>
      <c r="Z15" s="252" t="s">
        <v>2</v>
      </c>
      <c r="AA15" s="250" t="s">
        <v>158</v>
      </c>
      <c r="AB15" s="290" t="s">
        <v>184</v>
      </c>
      <c r="AC15" s="258" t="s">
        <v>150</v>
      </c>
    </row>
    <row r="16" spans="1:29" x14ac:dyDescent="0.2">
      <c r="A16" s="252"/>
      <c r="B16" s="15">
        <v>80</v>
      </c>
      <c r="C16" s="15">
        <v>100</v>
      </c>
      <c r="D16" s="15">
        <v>120</v>
      </c>
      <c r="E16" s="111"/>
      <c r="F16" s="13">
        <f>'R-410A_Calculator'!D11</f>
        <v>120</v>
      </c>
      <c r="G16" s="80" t="s">
        <v>116</v>
      </c>
      <c r="H16" s="106" t="s">
        <v>12</v>
      </c>
      <c r="I16" s="81"/>
      <c r="J16" s="252"/>
      <c r="K16" s="262"/>
      <c r="L16" s="261"/>
      <c r="M16" s="248"/>
      <c r="N16" s="248"/>
      <c r="O16" s="259"/>
      <c r="P16" s="259"/>
      <c r="Q16" s="274"/>
      <c r="R16" s="251"/>
      <c r="S16" s="288"/>
      <c r="T16" s="19" t="s">
        <v>9</v>
      </c>
      <c r="U16" s="248"/>
      <c r="V16" s="248"/>
      <c r="W16" s="248"/>
      <c r="Y16" s="81"/>
      <c r="Z16" s="252"/>
      <c r="AA16" s="251"/>
      <c r="AB16" s="291"/>
      <c r="AC16" s="259"/>
    </row>
    <row r="17" spans="1:29" ht="11.25" customHeight="1" x14ac:dyDescent="0.2">
      <c r="A17" s="5">
        <v>0.5</v>
      </c>
      <c r="B17" s="83">
        <f t="array" ref="B17:B28">TRANSPOSE(C8:N8)</f>
        <v>0.33</v>
      </c>
      <c r="C17" s="83">
        <f t="array" ref="C17:C28">TRANSPOSE(C9:N9)</f>
        <v>0.34</v>
      </c>
      <c r="D17" s="83">
        <f t="array" ref="D17:D28">TRANSPOSE(C10:N10)</f>
        <v>0.35</v>
      </c>
      <c r="E17" s="112"/>
      <c r="F17" s="293" t="s">
        <v>172</v>
      </c>
      <c r="G17" s="5">
        <v>0.5</v>
      </c>
      <c r="H17" s="86">
        <f xml:space="preserve"> 0.0000000000000000009*F16^2 + 0.0005*F16 + 0.29</f>
        <v>0.35000000000001297</v>
      </c>
      <c r="I17" s="115"/>
      <c r="J17" s="24" t="s">
        <v>12</v>
      </c>
      <c r="K17" s="16" t="s">
        <v>31</v>
      </c>
      <c r="L17" s="26" t="s">
        <v>12</v>
      </c>
      <c r="M17" s="248"/>
      <c r="N17" s="248"/>
      <c r="O17" s="260"/>
      <c r="P17" s="260"/>
      <c r="Q17" s="29" t="s">
        <v>31</v>
      </c>
      <c r="R17" s="29" t="s">
        <v>9</v>
      </c>
      <c r="S17" s="80" t="s">
        <v>116</v>
      </c>
      <c r="T17" s="13" t="str">
        <f>'R-410A_Calculator'!E85</f>
        <v>N/A</v>
      </c>
      <c r="U17" s="248"/>
      <c r="V17" s="248"/>
      <c r="W17" s="248"/>
      <c r="Y17" s="4"/>
      <c r="Z17" s="252"/>
      <c r="AA17" s="29" t="s">
        <v>9</v>
      </c>
      <c r="AB17" s="19" t="s">
        <v>116</v>
      </c>
      <c r="AC17" s="99" t="s">
        <v>9</v>
      </c>
    </row>
    <row r="18" spans="1:29" ht="11.25" customHeight="1" x14ac:dyDescent="0.2">
      <c r="A18" s="5">
        <v>0.625</v>
      </c>
      <c r="B18" s="83">
        <v>0.61</v>
      </c>
      <c r="C18" s="83">
        <v>0.628</v>
      </c>
      <c r="D18" s="83">
        <v>0.64700000000000002</v>
      </c>
      <c r="E18" s="112"/>
      <c r="F18" s="294"/>
      <c r="G18" s="5">
        <v>0.625</v>
      </c>
      <c r="H18" s="86">
        <f xml:space="preserve"> 0.000001*F16^2 + 0.0007*F16 + 0.548</f>
        <v>0.64640000000000009</v>
      </c>
      <c r="I18" s="115"/>
      <c r="J18" s="6">
        <v>0</v>
      </c>
      <c r="K18" s="25">
        <v>0.9</v>
      </c>
      <c r="L18" s="13">
        <f>'R-410A_Calculator'!D12</f>
        <v>40</v>
      </c>
      <c r="M18" s="27">
        <f>IF($L$18&gt;=J18,J18,"")</f>
        <v>0</v>
      </c>
      <c r="N18" s="27" t="str">
        <f>IF($L$18&lt;=J18,J18,"")</f>
        <v/>
      </c>
      <c r="O18" s="27">
        <f>MAX(M18:M21)</f>
        <v>40</v>
      </c>
      <c r="P18" s="28">
        <f>VLOOKUP(O18,J18:K21,2)</f>
        <v>1</v>
      </c>
      <c r="Q18" s="30">
        <f>IF(L18=0,K18,IF(L18=20,K19,IF(L18=40,K20,IF(L18=60,K21,FORECAST(L18,P18:P19,O18:O19)))))</f>
        <v>1</v>
      </c>
      <c r="R18" s="30">
        <f>$Q$18*H17</f>
        <v>0.35000000000001297</v>
      </c>
      <c r="S18" s="5">
        <v>0.5</v>
      </c>
      <c r="U18" s="87">
        <f>IF(R18&lt;$T$17,R18,"")</f>
        <v>0.35000000000001297</v>
      </c>
      <c r="V18" s="30">
        <f>MAX(U18:U29)</f>
        <v>86.68</v>
      </c>
      <c r="W18" s="35">
        <f>VLOOKUP(V18,R18:S29,2)</f>
        <v>4.125</v>
      </c>
      <c r="Z18" s="5">
        <f>'R-410A_Data'!AM8</f>
        <v>0.5</v>
      </c>
      <c r="AA18" s="28">
        <f>'R-410A_Data'!AB31</f>
        <v>1.4576800000000001</v>
      </c>
      <c r="AB18" s="88">
        <f>W20</f>
        <v>1.375</v>
      </c>
      <c r="AC18" s="28">
        <f>VLOOKUP(AB18,Z18:AA31,2)</f>
        <v>25.077576000000001</v>
      </c>
    </row>
    <row r="19" spans="1:29" ht="11.25" customHeight="1" x14ac:dyDescent="0.2">
      <c r="A19" s="5">
        <v>0.75</v>
      </c>
      <c r="B19" s="83">
        <v>1.06</v>
      </c>
      <c r="C19" s="83">
        <v>1.0920000000000001</v>
      </c>
      <c r="D19" s="83">
        <v>1.125</v>
      </c>
      <c r="E19" s="112"/>
      <c r="F19" s="294"/>
      <c r="G19" s="5">
        <v>0.75</v>
      </c>
      <c r="H19" s="86">
        <f xml:space="preserve"> 0.000001*F16^2 + 0.0014*F16 + 0.942</f>
        <v>1.1244000000000001</v>
      </c>
      <c r="I19" s="115"/>
      <c r="J19" s="6">
        <v>20</v>
      </c>
      <c r="K19" s="25">
        <v>0.94</v>
      </c>
      <c r="M19" s="27">
        <f>IF($L$18&gt;=J19,J19,"")</f>
        <v>20</v>
      </c>
      <c r="N19" s="27" t="str">
        <f>IF($L$18&lt;=J19,J19,"")</f>
        <v/>
      </c>
      <c r="O19" s="27">
        <f>MIN(N18:N21)</f>
        <v>40</v>
      </c>
      <c r="P19" s="28">
        <f>VLOOKUP(O19,J18:K21,2)</f>
        <v>1</v>
      </c>
      <c r="Q19" s="8"/>
      <c r="R19" s="30">
        <f t="shared" ref="R19:R29" si="0">$Q$18*H18</f>
        <v>0.64640000000000009</v>
      </c>
      <c r="S19" s="5">
        <v>0.625</v>
      </c>
      <c r="U19" s="87">
        <f t="shared" ref="U19:U29" si="1">IF(R19&lt;$T$17,R19,"")</f>
        <v>0.64640000000000009</v>
      </c>
      <c r="V19" s="11"/>
      <c r="Z19" s="5">
        <f>'R-410A_Data'!AM9</f>
        <v>0.625</v>
      </c>
      <c r="AA19" s="28">
        <f>'R-410A_Data'!AB32</f>
        <v>2.7279440000000004</v>
      </c>
    </row>
    <row r="20" spans="1:29" ht="11.25" customHeight="1" x14ac:dyDescent="0.2">
      <c r="A20" s="5">
        <v>0.875</v>
      </c>
      <c r="B20" s="83">
        <v>1.59</v>
      </c>
      <c r="C20" s="83">
        <v>1.6379999999999999</v>
      </c>
      <c r="D20" s="83">
        <v>1.6870000000000001</v>
      </c>
      <c r="E20" s="112"/>
      <c r="G20" s="5">
        <v>0.875</v>
      </c>
      <c r="H20" s="86">
        <f xml:space="preserve"> 0.000001*F16^2 + 0.0022*F16 + 1.408</f>
        <v>1.6863999999999999</v>
      </c>
      <c r="I20" s="115"/>
      <c r="J20" s="6">
        <v>40</v>
      </c>
      <c r="K20" s="25">
        <v>1</v>
      </c>
      <c r="M20" s="27">
        <f>IF($L$18&gt;=J20,J20,"")</f>
        <v>40</v>
      </c>
      <c r="N20" s="27">
        <f>IF($L$18&lt;=J20,J20,"")</f>
        <v>40</v>
      </c>
      <c r="R20" s="30">
        <f t="shared" si="0"/>
        <v>1.1244000000000001</v>
      </c>
      <c r="S20" s="5">
        <v>0.75</v>
      </c>
      <c r="U20" s="87">
        <f t="shared" si="1"/>
        <v>1.1244000000000001</v>
      </c>
      <c r="V20" s="11"/>
      <c r="W20" s="35">
        <f>IF(W18&gt;'R-410A_Data'!AG31,'R-410A_Data'!AG31,'R-410A_Min_Hot-Gas_Riser_Cap'!W18)</f>
        <v>1.375</v>
      </c>
      <c r="Z20" s="5">
        <f>'R-410A_Data'!AM10</f>
        <v>0.75</v>
      </c>
      <c r="AA20" s="28">
        <f>'R-410A_Data'!AB33</f>
        <v>4.6349840000000002</v>
      </c>
    </row>
    <row r="21" spans="1:29" x14ac:dyDescent="0.2">
      <c r="A21" s="5">
        <v>1.125</v>
      </c>
      <c r="B21" s="83">
        <v>3.19</v>
      </c>
      <c r="C21" s="83">
        <v>3.29</v>
      </c>
      <c r="D21" s="83">
        <v>3.38</v>
      </c>
      <c r="E21" s="112"/>
      <c r="G21" s="5">
        <v>1.125</v>
      </c>
      <c r="H21" s="86">
        <f xml:space="preserve"> -0.00001*F16^2 + 0.0072*F16 + 2.69</f>
        <v>3.41</v>
      </c>
      <c r="I21" s="115"/>
      <c r="J21" s="6">
        <v>60</v>
      </c>
      <c r="K21" s="25">
        <v>1.06</v>
      </c>
      <c r="M21" s="27" t="str">
        <f>IF($L$18&gt;=J21,J21,"")</f>
        <v/>
      </c>
      <c r="N21" s="27">
        <f>IF($L$18&lt;=J21,J21,"")</f>
        <v>60</v>
      </c>
      <c r="R21" s="30">
        <f t="shared" si="0"/>
        <v>1.6863999999999999</v>
      </c>
      <c r="S21" s="5">
        <v>0.875</v>
      </c>
      <c r="U21" s="87">
        <f t="shared" si="1"/>
        <v>1.6863999999999999</v>
      </c>
      <c r="V21" s="11"/>
      <c r="W21" s="1" t="s">
        <v>191</v>
      </c>
      <c r="Z21" s="5">
        <f>'R-410A_Data'!AM11</f>
        <v>0.875</v>
      </c>
      <c r="AA21" s="28">
        <f>'R-410A_Data'!AB34</f>
        <v>7.1459200000000003</v>
      </c>
    </row>
    <row r="22" spans="1:29" ht="11.25" customHeight="1" x14ac:dyDescent="0.2">
      <c r="A22" s="5">
        <v>1.375</v>
      </c>
      <c r="B22" s="83">
        <v>5.54</v>
      </c>
      <c r="C22" s="83">
        <v>5.71</v>
      </c>
      <c r="D22" s="83">
        <v>5.88</v>
      </c>
      <c r="E22" s="112"/>
      <c r="G22" s="5">
        <v>1.375</v>
      </c>
      <c r="H22" s="86">
        <f xml:space="preserve"> 0.0085*F16 + 4.86</f>
        <v>5.8800000000000008</v>
      </c>
      <c r="I22" s="115"/>
      <c r="J22" s="115"/>
      <c r="M22" s="4"/>
      <c r="N22" s="4"/>
      <c r="R22" s="30">
        <f t="shared" si="0"/>
        <v>3.41</v>
      </c>
      <c r="S22" s="5">
        <v>1.125</v>
      </c>
      <c r="U22" s="87">
        <f t="shared" si="1"/>
        <v>3.41</v>
      </c>
      <c r="V22" s="11"/>
      <c r="W22" s="1" t="s">
        <v>192</v>
      </c>
      <c r="Z22" s="5">
        <f>'R-410A_Data'!AM12</f>
        <v>1.125</v>
      </c>
      <c r="AA22" s="28">
        <f>'R-410A_Data'!AB35</f>
        <v>14.433223999999999</v>
      </c>
    </row>
    <row r="23" spans="1:29" x14ac:dyDescent="0.2">
      <c r="A23" s="5">
        <v>1.625</v>
      </c>
      <c r="B23" s="83">
        <v>8.75</v>
      </c>
      <c r="C23" s="83">
        <v>9.01</v>
      </c>
      <c r="D23" s="83">
        <v>9.2799999999999994</v>
      </c>
      <c r="E23" s="112"/>
      <c r="G23" s="5">
        <v>1.625</v>
      </c>
      <c r="H23" s="86">
        <f xml:space="preserve"> 0.00001*F16^2 + 0.0107*F16 + 7.81</f>
        <v>9.2379999999999995</v>
      </c>
      <c r="I23" s="115"/>
      <c r="J23" s="115"/>
      <c r="M23" s="4"/>
      <c r="N23" s="4"/>
      <c r="R23" s="30">
        <f t="shared" si="0"/>
        <v>5.8800000000000008</v>
      </c>
      <c r="S23" s="5">
        <v>1.375</v>
      </c>
      <c r="U23" s="87">
        <f t="shared" si="1"/>
        <v>5.8800000000000008</v>
      </c>
      <c r="V23" s="11"/>
      <c r="W23" s="28">
        <f>VLOOKUP(W20,S18:U29,3)</f>
        <v>5.8800000000000008</v>
      </c>
      <c r="Z23" s="5">
        <f>'R-410A_Data'!AM13</f>
        <v>1.375</v>
      </c>
      <c r="AA23" s="28">
        <f>'R-410A_Data'!AB36</f>
        <v>25.077576000000001</v>
      </c>
    </row>
    <row r="24" spans="1:29" x14ac:dyDescent="0.2">
      <c r="A24" s="5">
        <v>2.125</v>
      </c>
      <c r="B24" s="83">
        <v>13.8</v>
      </c>
      <c r="C24" s="83">
        <v>14.21</v>
      </c>
      <c r="D24" s="83">
        <v>14.64</v>
      </c>
      <c r="E24" s="112"/>
      <c r="G24" s="5">
        <v>2.125</v>
      </c>
      <c r="H24" s="86">
        <f xml:space="preserve"> 0.00002*F16^2 + 0.016*F16 + 12.36</f>
        <v>14.568</v>
      </c>
      <c r="I24" s="4"/>
      <c r="J24" s="115"/>
      <c r="M24" s="4"/>
      <c r="N24" s="4"/>
      <c r="R24" s="30">
        <f t="shared" si="0"/>
        <v>9.2379999999999995</v>
      </c>
      <c r="S24" s="5">
        <v>1.625</v>
      </c>
      <c r="U24" s="87">
        <f t="shared" si="1"/>
        <v>9.2379999999999995</v>
      </c>
      <c r="V24" s="11"/>
      <c r="W24" s="1" t="s">
        <v>151</v>
      </c>
      <c r="Z24" s="5">
        <f>'R-410A_Data'!AM14</f>
        <v>1.625</v>
      </c>
      <c r="AA24" s="28">
        <f>'R-410A_Data'!AB37</f>
        <v>39.607247999999998</v>
      </c>
    </row>
    <row r="25" spans="1:29" x14ac:dyDescent="0.2">
      <c r="A25" s="5">
        <v>2.625</v>
      </c>
      <c r="B25" s="83">
        <v>24.4</v>
      </c>
      <c r="C25" s="83">
        <v>25.13</v>
      </c>
      <c r="D25" s="83">
        <v>25.89</v>
      </c>
      <c r="E25" s="112"/>
      <c r="G25" s="5">
        <v>2.625</v>
      </c>
      <c r="H25" s="86">
        <f xml:space="preserve"> 0.00004*F16^2 + 0.0297*F16 + 21.78</f>
        <v>25.92</v>
      </c>
      <c r="I25" s="115"/>
      <c r="J25" s="115"/>
      <c r="R25" s="30">
        <f t="shared" si="0"/>
        <v>14.568</v>
      </c>
      <c r="S25" s="5">
        <v>2.125</v>
      </c>
      <c r="U25" s="87">
        <f t="shared" si="1"/>
        <v>14.568</v>
      </c>
      <c r="V25" s="11"/>
      <c r="Z25" s="5">
        <f>'R-410A_Data'!AM15</f>
        <v>2.125</v>
      </c>
      <c r="AA25" s="28">
        <f>'R-410A_Data'!AB38</f>
        <v>82.823623999999995</v>
      </c>
    </row>
    <row r="26" spans="1:29" x14ac:dyDescent="0.2">
      <c r="A26" s="5">
        <v>3.125</v>
      </c>
      <c r="B26" s="83">
        <v>38.9</v>
      </c>
      <c r="C26" s="83">
        <v>40.04</v>
      </c>
      <c r="D26" s="83">
        <v>41.27</v>
      </c>
      <c r="E26" s="112"/>
      <c r="G26" s="5">
        <v>3.125</v>
      </c>
      <c r="H26" s="86">
        <f xml:space="preserve"> 0.0001*F16^2 + 0.0368*F16 + 35.24</f>
        <v>41.096000000000004</v>
      </c>
      <c r="I26" s="115"/>
      <c r="J26" s="115"/>
      <c r="R26" s="30">
        <f t="shared" si="0"/>
        <v>25.92</v>
      </c>
      <c r="S26" s="5">
        <v>2.625</v>
      </c>
      <c r="U26" s="87">
        <f t="shared" si="1"/>
        <v>25.92</v>
      </c>
      <c r="V26" s="11"/>
      <c r="Z26" s="5">
        <f>'R-410A_Data'!AM16</f>
        <v>2.625</v>
      </c>
      <c r="AA26" s="28">
        <f>'R-410A_Data'!AB39</f>
        <v>143.797392</v>
      </c>
    </row>
    <row r="27" spans="1:29" x14ac:dyDescent="0.2">
      <c r="A27" s="5">
        <v>3.625</v>
      </c>
      <c r="B27" s="83">
        <v>57.8</v>
      </c>
      <c r="C27" s="83">
        <v>59.53</v>
      </c>
      <c r="D27" s="83">
        <v>61.32</v>
      </c>
      <c r="E27" s="112"/>
      <c r="G27" s="5">
        <v>3.625</v>
      </c>
      <c r="H27" s="86">
        <f xml:space="preserve"> 0.00008*F16^2 + 0.073*F16 + 51.48</f>
        <v>61.391999999999996</v>
      </c>
      <c r="I27" s="115"/>
      <c r="J27" s="115"/>
      <c r="R27" s="30">
        <f t="shared" si="0"/>
        <v>41.096000000000004</v>
      </c>
      <c r="S27" s="5">
        <v>3.125</v>
      </c>
      <c r="U27" s="87">
        <f t="shared" si="1"/>
        <v>41.096000000000004</v>
      </c>
      <c r="V27" s="11"/>
      <c r="Z27" s="5">
        <f>'R-410A_Data'!AM17</f>
        <v>3.125</v>
      </c>
      <c r="AA27" s="28">
        <f>'R-410A_Data'!AB40</f>
        <v>229.04208000000003</v>
      </c>
    </row>
    <row r="28" spans="1:29" x14ac:dyDescent="0.2">
      <c r="A28" s="5">
        <v>4.125</v>
      </c>
      <c r="B28" s="83">
        <v>81.7</v>
      </c>
      <c r="C28" s="83">
        <v>84.15</v>
      </c>
      <c r="D28" s="83">
        <v>86.68</v>
      </c>
      <c r="E28" s="112"/>
      <c r="G28" s="5">
        <v>4.125</v>
      </c>
      <c r="H28" s="86">
        <f xml:space="preserve"> 0.0001*F16^2 + 0.1045*F16 + 72.7</f>
        <v>86.68</v>
      </c>
      <c r="I28" s="115"/>
      <c r="J28" s="115"/>
      <c r="R28" s="30">
        <f t="shared" si="0"/>
        <v>61.391999999999996</v>
      </c>
      <c r="S28" s="5">
        <v>3.625</v>
      </c>
      <c r="U28" s="87">
        <f t="shared" si="1"/>
        <v>61.391999999999996</v>
      </c>
      <c r="Z28" s="5">
        <f>'R-410A_Data'!AM18</f>
        <v>3.625</v>
      </c>
      <c r="AA28" s="28">
        <f>'R-410A_Data'!AB41</f>
        <v>339.363248</v>
      </c>
    </row>
    <row r="29" spans="1:29" x14ac:dyDescent="0.2">
      <c r="R29" s="30">
        <f t="shared" si="0"/>
        <v>86.68</v>
      </c>
      <c r="S29" s="5">
        <v>4.125</v>
      </c>
      <c r="U29" s="87">
        <f t="shared" si="1"/>
        <v>86.68</v>
      </c>
      <c r="Z29" s="5">
        <f>'R-410A_Data'!AM19</f>
        <v>4.125</v>
      </c>
      <c r="AA29" s="28">
        <f>'R-410A_Data'!AB42</f>
        <v>477.74859200000003</v>
      </c>
    </row>
    <row r="30" spans="1:29" x14ac:dyDescent="0.2">
      <c r="Z30" s="5">
        <f>'R-410A_Data'!AM20</f>
        <v>5.125</v>
      </c>
      <c r="AA30" s="28">
        <f>'R-410A_Data'!AB43</f>
        <v>851.28731200000016</v>
      </c>
    </row>
    <row r="31" spans="1:29" x14ac:dyDescent="0.2">
      <c r="Z31" s="5">
        <f>'R-410A_Data'!AM21</f>
        <v>6.125</v>
      </c>
      <c r="AA31" s="28">
        <f>'R-410A_Data'!AB44</f>
        <v>1363.551136</v>
      </c>
    </row>
  </sheetData>
  <mergeCells count="42">
    <mergeCell ref="A14:A16"/>
    <mergeCell ref="A3:N3"/>
    <mergeCell ref="A12:A13"/>
    <mergeCell ref="A1:D1"/>
    <mergeCell ref="F1:G1"/>
    <mergeCell ref="H1:I1"/>
    <mergeCell ref="J1:K1"/>
    <mergeCell ref="A4:A6"/>
    <mergeCell ref="B4:B6"/>
    <mergeCell ref="C4:N4"/>
    <mergeCell ref="C6:N6"/>
    <mergeCell ref="G12:H13"/>
    <mergeCell ref="B14:D14"/>
    <mergeCell ref="B15:D15"/>
    <mergeCell ref="Z11:AC11"/>
    <mergeCell ref="G14:G15"/>
    <mergeCell ref="J13:K14"/>
    <mergeCell ref="T13:W13"/>
    <mergeCell ref="T14:T15"/>
    <mergeCell ref="U14:U17"/>
    <mergeCell ref="V14:V17"/>
    <mergeCell ref="K15:K16"/>
    <mergeCell ref="L14:Q14"/>
    <mergeCell ref="L15:L16"/>
    <mergeCell ref="M15:M17"/>
    <mergeCell ref="N15:N17"/>
    <mergeCell ref="O15:O17"/>
    <mergeCell ref="Z13:AC13"/>
    <mergeCell ref="Z14:AC14"/>
    <mergeCell ref="Z15:Z17"/>
    <mergeCell ref="AA15:AA16"/>
    <mergeCell ref="AB15:AB16"/>
    <mergeCell ref="AC15:AC16"/>
    <mergeCell ref="W14:W17"/>
    <mergeCell ref="R15:R16"/>
    <mergeCell ref="S15:S16"/>
    <mergeCell ref="F17:F19"/>
    <mergeCell ref="F13:F14"/>
    <mergeCell ref="R12:S14"/>
    <mergeCell ref="J15:J16"/>
    <mergeCell ref="P15:P17"/>
    <mergeCell ref="Q15:Q16"/>
  </mergeCells>
  <phoneticPr fontId="2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D75DF66B9E2D48B87F9CD328C7C571" ma:contentTypeVersion="13" ma:contentTypeDescription="Create a new document." ma:contentTypeScope="" ma:versionID="dd3d77aa57bd9533d119b72c72a336d0">
  <xsd:schema xmlns:xsd="http://www.w3.org/2001/XMLSchema" xmlns:xs="http://www.w3.org/2001/XMLSchema" xmlns:p="http://schemas.microsoft.com/office/2006/metadata/properties" xmlns:ns3="1bd99172-2f81-496b-8a26-3573e1c8f94f" xmlns:ns4="91ce9e0d-e54e-4849-b0ea-8da107091082" targetNamespace="http://schemas.microsoft.com/office/2006/metadata/properties" ma:root="true" ma:fieldsID="0ad6fba7f9dda945a55a265d0da37056" ns3:_="" ns4:_="">
    <xsd:import namespace="1bd99172-2f81-496b-8a26-3573e1c8f94f"/>
    <xsd:import namespace="91ce9e0d-e54e-4849-b0ea-8da10709108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d99172-2f81-496b-8a26-3573e1c8f9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ce9e0d-e54e-4849-b0ea-8da1070910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1887CC-7971-454D-B736-55887E8A40FC}">
  <ds:schemaRefs>
    <ds:schemaRef ds:uri="1bd99172-2f81-496b-8a26-3573e1c8f94f"/>
    <ds:schemaRef ds:uri="http://purl.org/dc/dcmitype/"/>
    <ds:schemaRef ds:uri="91ce9e0d-e54e-4849-b0ea-8da107091082"/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B134CFF-9383-4853-8F5E-2EE41A9D8D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d99172-2f81-496b-8a26-3573e1c8f94f"/>
    <ds:schemaRef ds:uri="91ce9e0d-e54e-4849-b0ea-8da1070910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A50518-3ACA-46D2-8741-780B8FBE50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Changelog</vt:lpstr>
      <vt:lpstr>R-410A_Calculator</vt:lpstr>
      <vt:lpstr>R-410A_Data</vt:lpstr>
      <vt:lpstr>R-410A_Equivalent_Length</vt:lpstr>
      <vt:lpstr>R-410A_Min_Suction_Riser_Cap</vt:lpstr>
      <vt:lpstr>R-410A_Min_Hot-Gas_Riser_Cap</vt:lpstr>
      <vt:lpstr>Identical_Circuits__1_2</vt:lpstr>
      <vt:lpstr>'R-410A_Calculator'!Print_Area</vt:lpstr>
      <vt:lpstr>'R-410A_Calculator'!Print_Titles</vt:lpstr>
    </vt:vector>
  </TitlesOfParts>
  <Company>McQuay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McQuay International</dc:creator>
  <cp:lastModifiedBy>Everly, Jeffrey</cp:lastModifiedBy>
  <cp:lastPrinted>2025-03-12T21:44:19Z</cp:lastPrinted>
  <dcterms:created xsi:type="dcterms:W3CDTF">2007-12-03T19:11:01Z</dcterms:created>
  <dcterms:modified xsi:type="dcterms:W3CDTF">2025-03-12T21:45:14Z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0x0101008FD75DF66B9E2D48B87F9CD328C7C571</vt:lpwstr>
  </property>
</Properties>
</file>